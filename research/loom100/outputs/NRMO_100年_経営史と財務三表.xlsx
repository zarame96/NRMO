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経営史(世代)" sheetId="1" state="visible" r:id="rId3"/>
    <sheet name="代表-市場と資本政策" sheetId="2" state="visible" r:id="rId4"/>
    <sheet name="代表-財務三表" sheetId="3" state="visible" r:id="rId5"/>
    <sheet name="対照-零細(10年で破綻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<sst xmlns="http://schemas.openxmlformats.org/spreadsheetml/2006/main" count="275" uniqueCount="100">
  <si>
    <r>
      <rPr>
        <b val="true"/>
        <sz val="13"/>
        <color rgb="FF1B2748"/>
        <rFont val="Arial"/>
        <family val="0"/>
        <charset val="1"/>
      </rPr>
      <t xml:space="preserve">100</t>
    </r>
    <r>
      <rPr>
        <b val="true"/>
        <sz val="13"/>
        <color rgb="FF1B2748"/>
        <rFont val="Noto Sans CJK SC"/>
        <family val="2"/>
      </rPr>
      <t xml:space="preserve">年</t>
    </r>
    <r>
      <rPr>
        <b val="true"/>
        <sz val="13"/>
        <color rgb="FF1B2748"/>
        <rFont val="Arial"/>
        <family val="0"/>
        <charset val="1"/>
      </rPr>
      <t xml:space="preserve">(</t>
    </r>
    <r>
      <rPr>
        <b val="true"/>
        <sz val="13"/>
        <color rgb="FF1B2748"/>
        <rFont val="Noto Sans CJK SC"/>
        <family val="2"/>
      </rPr>
      <t xml:space="preserve">最大</t>
    </r>
    <r>
      <rPr>
        <b val="true"/>
        <sz val="13"/>
        <color rgb="FF1B2748"/>
        <rFont val="Arial"/>
        <family val="0"/>
        <charset val="1"/>
      </rPr>
      <t xml:space="preserve">)</t>
    </r>
    <r>
      <rPr>
        <b val="true"/>
        <sz val="13"/>
        <color rgb="FF1B2748"/>
        <rFont val="Noto Sans CJK SC"/>
        <family val="2"/>
      </rPr>
      <t xml:space="preserve">経営史 — 世代ごとの判断軸と帰結</t>
    </r>
  </si>
  <si>
    <r>
      <rPr>
        <i val="true"/>
        <sz val="9"/>
        <color rgb="FF555555"/>
        <rFont val="Noto Sans CJK SC"/>
        <family val="2"/>
      </rPr>
      <t xml:space="preserve">代表企業</t>
    </r>
    <r>
      <rPr>
        <i val="true"/>
        <sz val="9"/>
        <color rgb="FF555555"/>
        <rFont val="Arial"/>
        <family val="0"/>
        <charset val="1"/>
      </rPr>
      <t xml:space="preserve">(seed19) / 20</t>
    </r>
    <r>
      <rPr>
        <i val="true"/>
        <sz val="9"/>
        <color rgb="FF555555"/>
        <rFont val="Noto Sans CJK SC"/>
        <family val="2"/>
      </rPr>
      <t xml:space="preserve">年生存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第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代 </t>
    </r>
    <r>
      <rPr>
        <i val="true"/>
        <sz val="9"/>
        <color rgb="FF555555"/>
        <rFont val="Arial"/>
        <family val="0"/>
        <charset val="1"/>
      </rPr>
      <t xml:space="preserve">/ TSE</t>
    </r>
    <r>
      <rPr>
        <i val="true"/>
        <sz val="9"/>
        <color rgb="FF555555"/>
        <rFont val="Noto Sans CJK SC"/>
        <family val="2"/>
      </rPr>
      <t xml:space="preserve">上場・</t>
    </r>
    <r>
      <rPr>
        <i val="true"/>
        <sz val="9"/>
        <color rgb="FF555555"/>
        <rFont val="Arial"/>
        <family val="0"/>
        <charset val="1"/>
      </rPr>
      <t xml:space="preserve">JGAAP</t>
    </r>
    <r>
      <rPr>
        <i val="true"/>
        <sz val="9"/>
        <color rgb="FF555555"/>
        <rFont val="Noto Sans CJK SC"/>
        <family val="2"/>
      </rPr>
      <t xml:space="preserve">適用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最終監査</t>
    </r>
    <r>
      <rPr>
        <i val="true"/>
        <sz val="9"/>
        <color rgb="FF555555"/>
        <rFont val="Arial"/>
        <family val="0"/>
        <charset val="1"/>
      </rPr>
      <t xml:space="preserve">=adverse / </t>
    </r>
    <r>
      <rPr>
        <i val="true"/>
        <sz val="9"/>
        <color rgb="FF555555"/>
        <rFont val="Noto Sans CJK SC"/>
        <family val="2"/>
      </rPr>
      <t xml:space="preserve">ピーク純資産</t>
    </r>
    <r>
      <rPr>
        <i val="true"/>
        <sz val="9"/>
        <color rgb="FF555555"/>
        <rFont val="Arial"/>
        <family val="0"/>
        <charset val="1"/>
      </rPr>
      <t xml:space="preserve">2,229</t>
    </r>
    <r>
      <rPr>
        <i val="true"/>
        <sz val="9"/>
        <color rgb="FF555555"/>
        <rFont val="Noto Sans CJK SC"/>
        <family val="2"/>
      </rPr>
      <t xml:space="preserve">百万円</t>
    </r>
  </si>
  <si>
    <t xml:space="preserve">代</t>
  </si>
  <si>
    <r>
      <rPr>
        <b val="true"/>
        <sz val="10"/>
        <color rgb="FFFFFFFF"/>
        <rFont val="Noto Sans CJK SC"/>
        <family val="2"/>
      </rPr>
      <t xml:space="preserve">判断軸</t>
    </r>
    <r>
      <rPr>
        <b val="true"/>
        <sz val="10"/>
        <color rgb="FFFFFFFF"/>
        <rFont val="Arial"/>
        <family val="0"/>
        <charset val="1"/>
      </rPr>
      <t xml:space="preserve">(bias)</t>
    </r>
  </si>
  <si>
    <r>
      <rPr>
        <b val="true"/>
        <sz val="10"/>
        <color rgb="FFFFFFFF"/>
        <rFont val="Noto Sans CJK SC"/>
        <family val="2"/>
      </rPr>
      <t xml:space="preserve">在任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</si>
  <si>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期末純資産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百万円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</si>
  <si>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危機回数</t>
  </si>
  <si>
    <t xml:space="preserve">経験した景気</t>
  </si>
  <si>
    <t xml:space="preserve">主な手</t>
  </si>
  <si>
    <t xml:space="preserve">制度イベント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</si>
  <si>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代</t>
    </r>
  </si>
  <si>
    <r>
      <rPr>
        <sz val="11"/>
        <color theme="1"/>
        <rFont val="Noto Sans CJK SC"/>
        <family val="2"/>
      </rPr>
      <t xml:space="preserve">均衡 </t>
    </r>
    <r>
      <rPr>
        <sz val="11"/>
        <color theme="1"/>
        <rFont val="Calibri"/>
        <family val="2"/>
        <charset val="1"/>
      </rPr>
      <t xml:space="preserve">(+0.00)</t>
    </r>
  </si>
  <si>
    <t xml:space="preserve">0→12</t>
  </si>
  <si>
    <t xml:space="preserve">平常</t>
  </si>
  <si>
    <r>
      <rPr>
        <sz val="11"/>
        <color theme="1"/>
        <rFont val="Noto Sans CJK SC"/>
        <family val="2"/>
      </rPr>
      <t xml:space="preserve">販促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刷新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</si>
  <si>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 業態転換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累計</t>
    </r>
    <r>
      <rPr>
        <sz val="11"/>
        <color theme="1"/>
        <rFont val="Calibri"/>
        <family val="2"/>
        <charset val="1"/>
      </rPr>
      <t xml:space="preserve">1); 5</t>
    </r>
    <r>
      <rPr>
        <sz val="11"/>
        <color theme="1"/>
        <rFont val="Noto Sans CJK SC"/>
        <family val="2"/>
      </rPr>
      <t xml:space="preserve">年 新規事業成功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累計</t>
    </r>
    <r>
      <rPr>
        <sz val="11"/>
        <color theme="1"/>
        <rFont val="Calibri"/>
        <family val="2"/>
        <charset val="1"/>
      </rPr>
      <t xml:space="preserve">1)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</si>
  <si>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代</t>
    </r>
  </si>
  <si>
    <r>
      <rPr>
        <sz val="11"/>
        <color theme="1"/>
        <rFont val="Noto Sans CJK SC"/>
        <family val="2"/>
      </rPr>
      <t xml:space="preserve">均衡 </t>
    </r>
    <r>
      <rPr>
        <sz val="11"/>
        <color theme="1"/>
        <rFont val="Calibri"/>
        <family val="2"/>
        <charset val="1"/>
      </rPr>
      <t xml:space="preserve">(-0.28)</t>
    </r>
  </si>
  <si>
    <t xml:space="preserve">12→20</t>
  </si>
  <si>
    <r>
      <rPr>
        <sz val="11"/>
        <color theme="1"/>
        <rFont val="Noto Sans CJK SC"/>
        <family val="2"/>
      </rPr>
      <t xml:space="preserve">集客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広告</t>
    </r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</si>
  <si>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年 新規事業成功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累計</t>
    </r>
    <r>
      <rPr>
        <sz val="11"/>
        <color theme="1"/>
        <rFont val="Calibri"/>
        <family val="2"/>
        <charset val="1"/>
      </rPr>
      <t xml:space="preserve">2); 17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IPO</t>
    </r>
    <r>
      <rPr>
        <sz val="11"/>
        <color theme="1"/>
        <rFont val="Noto Sans CJK SC"/>
        <family val="2"/>
      </rPr>
      <t xml:space="preserve">上場</t>
    </r>
    <r>
      <rPr>
        <sz val="11"/>
        <color theme="1"/>
        <rFont val="Calibri"/>
        <family val="2"/>
        <charset val="1"/>
      </rPr>
      <t xml:space="preserve">(TSE/JGAAP); 20</t>
    </r>
    <r>
      <rPr>
        <sz val="11"/>
        <color theme="1"/>
        <rFont val="Noto Sans CJK SC"/>
        <family val="2"/>
      </rPr>
      <t xml:space="preserve">年 監査意見『</t>
    </r>
    <r>
      <rPr>
        <sz val="11"/>
        <color theme="1"/>
        <rFont val="Calibri"/>
        <family val="2"/>
        <charset val="1"/>
      </rPr>
      <t xml:space="preserve">adverse</t>
    </r>
    <r>
      <rPr>
        <sz val="11"/>
        <color theme="1"/>
        <rFont val="Noto Sans CJK SC"/>
        <family val="2"/>
      </rPr>
      <t xml:space="preserve">』</t>
    </r>
  </si>
  <si>
    <r>
      <rPr>
        <b val="true"/>
        <sz val="10"/>
        <color rgb="FF1B2748"/>
        <rFont val="Noto Sans CJK SC"/>
        <family val="2"/>
      </rPr>
      <t xml:space="preserve">危機</t>
    </r>
    <r>
      <rPr>
        <b val="true"/>
        <sz val="10"/>
        <color rgb="FF1B2748"/>
        <rFont val="Arial"/>
        <family val="0"/>
        <charset val="1"/>
      </rPr>
      <t xml:space="preserve">(</t>
    </r>
    <r>
      <rPr>
        <b val="true"/>
        <sz val="10"/>
        <color rgb="FF1B2748"/>
        <rFont val="Noto Sans CJK SC"/>
        <family val="2"/>
      </rPr>
      <t xml:space="preserve">立て直し</t>
    </r>
    <r>
      <rPr>
        <b val="true"/>
        <sz val="10"/>
        <color rgb="FF1B2748"/>
        <rFont val="Arial"/>
        <family val="0"/>
        <charset val="1"/>
      </rPr>
      <t xml:space="preserve">)</t>
    </r>
    <r>
      <rPr>
        <b val="true"/>
        <sz val="10"/>
        <color rgb="FF1B2748"/>
        <rFont val="Noto Sans CJK SC"/>
        <family val="2"/>
      </rPr>
      <t xml:space="preserve">局面の明細</t>
    </r>
  </si>
  <si>
    <t xml:space="preserve">開始年</t>
  </si>
  <si>
    <t xml:space="preserve">終了年</t>
  </si>
  <si>
    <t xml:space="preserve">結果</t>
  </si>
  <si>
    <r>
      <rPr>
        <b val="true"/>
        <sz val="10"/>
        <color rgb="FF1B2748"/>
        <rFont val="Noto Sans CJK SC"/>
        <family val="2"/>
      </rPr>
      <t xml:space="preserve">底の純資産</t>
    </r>
    <r>
      <rPr>
        <b val="true"/>
        <sz val="10"/>
        <color rgb="FF1B2748"/>
        <rFont val="Arial"/>
        <family val="0"/>
        <charset val="1"/>
      </rPr>
      <t xml:space="preserve">(</t>
    </r>
    <r>
      <rPr>
        <b val="true"/>
        <sz val="10"/>
        <color rgb="FF1B2748"/>
        <rFont val="Noto Sans CJK SC"/>
        <family val="2"/>
      </rPr>
      <t xml:space="preserve">百万円</t>
    </r>
    <r>
      <rPr>
        <b val="true"/>
        <sz val="10"/>
        <color rgb="FF1B2748"/>
        <rFont val="Arial"/>
        <family val="0"/>
        <charset val="1"/>
      </rPr>
      <t xml:space="preserve">)</t>
    </r>
  </si>
  <si>
    <t xml:space="preserve">生還</t>
  </si>
  <si>
    <t xml:space="preserve">破綻</t>
  </si>
  <si>
    <r>
      <rPr>
        <b val="true"/>
        <sz val="13"/>
        <color rgb="FF1B2748"/>
        <rFont val="Noto Sans CJK SC"/>
        <family val="2"/>
      </rPr>
      <t xml:space="preserve">代表企業 市場シェア・競合・新規事業・資本政策・操業レバーの推移（</t>
    </r>
    <r>
      <rPr>
        <b val="true"/>
        <sz val="13"/>
        <color rgb="FF1B2748"/>
        <rFont val="Arial"/>
        <family val="0"/>
        <charset val="1"/>
      </rPr>
      <t xml:space="preserve">20</t>
    </r>
    <r>
      <rPr>
        <b val="true"/>
        <sz val="13"/>
        <color rgb="FF1B2748"/>
        <rFont val="Noto Sans CJK SC"/>
        <family val="2"/>
      </rPr>
      <t xml:space="preserve">年 </t>
    </r>
    <r>
      <rPr>
        <b val="true"/>
        <sz val="13"/>
        <color rgb="FF1B2748"/>
        <rFont val="Arial"/>
        <family val="0"/>
        <charset val="1"/>
      </rPr>
      <t xml:space="preserve">/ JGAAP</t>
    </r>
    <r>
      <rPr>
        <b val="true"/>
        <sz val="13"/>
        <color rgb="FF1B2748"/>
        <rFont val="Noto Sans CJK SC"/>
        <family val="2"/>
      </rPr>
      <t xml:space="preserve">・</t>
    </r>
    <r>
      <rPr>
        <b val="true"/>
        <sz val="13"/>
        <color rgb="FF1B2748"/>
        <rFont val="Arial"/>
        <family val="0"/>
        <charset val="1"/>
      </rPr>
      <t xml:space="preserve">TSE</t>
    </r>
    <r>
      <rPr>
        <b val="true"/>
        <sz val="13"/>
        <color rgb="FF1B2748"/>
        <rFont val="Noto Sans CJK SC"/>
        <family val="2"/>
      </rPr>
      <t xml:space="preserve">）</t>
    </r>
  </si>
  <si>
    <r>
      <rPr>
        <i val="true"/>
        <sz val="9"/>
        <color rgb="FF555555"/>
        <rFont val="Noto Sans CJK SC"/>
        <family val="2"/>
      </rPr>
      <t xml:space="preserve">単位：シェア</t>
    </r>
    <r>
      <rPr>
        <i val="true"/>
        <sz val="9"/>
        <color rgb="FF555555"/>
        <rFont val="Arial"/>
        <family val="0"/>
        <charset val="1"/>
      </rPr>
      <t xml:space="preserve">=%, </t>
    </r>
    <r>
      <rPr>
        <i val="true"/>
        <sz val="9"/>
        <color rgb="FF555555"/>
        <rFont val="Noto Sans CJK SC"/>
        <family val="2"/>
      </rPr>
      <t xml:space="preserve">市場規模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個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株価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円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金額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百万円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値はシミュレーション値</t>
    </r>
  </si>
  <si>
    <r>
      <rPr>
        <b val="true"/>
        <sz val="10"/>
        <color rgb="FF1B2748"/>
        <rFont val="Noto Sans CJK SC"/>
        <family val="2"/>
      </rPr>
      <t xml:space="preserve">企業理念</t>
    </r>
    <r>
      <rPr>
        <b val="true"/>
        <sz val="10"/>
        <color rgb="FF1B2748"/>
        <rFont val="Arial"/>
        <family val="0"/>
        <charset val="1"/>
      </rPr>
      <t xml:space="preserve">: </t>
    </r>
    <r>
      <rPr>
        <b val="true"/>
        <sz val="10"/>
        <color rgb="FF1B2748"/>
        <rFont val="Noto Sans CJK SC"/>
        <family val="2"/>
      </rPr>
      <t xml:space="preserve">『顧客価値と持続的成長を両立し続ける』  最終 理念整合度</t>
    </r>
    <r>
      <rPr>
        <b val="true"/>
        <sz val="10"/>
        <color rgb="FF1B2748"/>
        <rFont val="Arial"/>
        <family val="0"/>
        <charset val="1"/>
      </rPr>
      <t xml:space="preserve">=0.63</t>
    </r>
  </si>
  <si>
    <t xml:space="preserve">年</t>
  </si>
  <si>
    <t xml:space="preserve">世代</t>
  </si>
  <si>
    <t xml:space="preserve">市場シェア</t>
  </si>
  <si>
    <t xml:space="preserve">競合数</t>
  </si>
  <si>
    <r>
      <rPr>
        <b val="true"/>
        <sz val="10"/>
        <color rgb="FFFFFFFF"/>
        <rFont val="Noto Sans CJK SC"/>
        <family val="2"/>
      </rPr>
      <t xml:space="preserve">市場規模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個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</si>
  <si>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新規事業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累計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</si>
  <si>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上場</t>
  </si>
  <si>
    <t xml:space="preserve">市場</t>
  </si>
  <si>
    <t xml:space="preserve">会計</t>
  </si>
  <si>
    <t xml:space="preserve">監査意見</t>
  </si>
  <si>
    <r>
      <rPr>
        <b val="true"/>
        <sz val="10"/>
        <color rgb="FFFFFFFF"/>
        <rFont val="Noto Sans CJK SC"/>
        <family val="2"/>
      </rPr>
      <t xml:space="preserve">株価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</si>
  <si>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理念整合度</t>
  </si>
  <si>
    <t xml:space="preserve">アクティビスト圧</t>
  </si>
  <si>
    <r>
      <rPr>
        <b val="true"/>
        <sz val="10"/>
        <color rgb="FFFFFFFF"/>
        <rFont val="Noto Sans CJK SC"/>
        <family val="2"/>
      </rPr>
      <t xml:space="preserve">配当累計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百万円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</si>
  <si>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社債残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百万円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</si>
  <si>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自己株式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百万円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</si>
  <si>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発行済株式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百万株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</si>
  <si>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チャネル数</t>
  </si>
  <si>
    <t xml:space="preserve">拠点数</t>
  </si>
  <si>
    <t xml:space="preserve">内製化</t>
  </si>
  <si>
    <r>
      <rPr>
        <b val="true"/>
        <sz val="10"/>
        <color rgb="FFFFFFFF"/>
        <rFont val="Arial"/>
        <family val="0"/>
        <charset val="1"/>
      </rPr>
      <t xml:space="preserve">CS</t>
    </r>
    <r>
      <rPr>
        <b val="true"/>
        <sz val="10"/>
        <color rgb="FFFFFFFF"/>
        <rFont val="Noto Sans CJK SC"/>
        <family val="2"/>
      </rPr>
      <t xml:space="preserve">水準</t>
    </r>
  </si>
  <si>
    <r>
      <rPr>
        <b val="true"/>
        <sz val="10"/>
        <color rgb="FFFFFFFF"/>
        <rFont val="Arial"/>
        <family val="0"/>
        <charset val="1"/>
      </rPr>
      <t xml:space="preserve">opex</t>
    </r>
    <r>
      <rPr>
        <b val="true"/>
        <sz val="10"/>
        <color rgb="FFFFFFFF"/>
        <rFont val="Noto Sans CJK SC"/>
        <family val="2"/>
      </rPr>
      <t xml:space="preserve">効率</t>
    </r>
  </si>
  <si>
    <r>
      <rPr>
        <b val="true"/>
        <sz val="10"/>
        <color rgb="FFFFFFFF"/>
        <rFont val="Noto Sans CJK SC"/>
        <family val="2"/>
      </rPr>
      <t xml:space="preserve">業態転換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累計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</si>
  <si>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未上場</t>
  </si>
  <si>
    <t xml:space="preserve">PRIVATE</t>
  </si>
  <si>
    <t xml:space="preserve">NONE</t>
  </si>
  <si>
    <t xml:space="preserve">none</t>
  </si>
  <si>
    <t xml:space="preserve">TSE</t>
  </si>
  <si>
    <t xml:space="preserve">JGAAP</t>
  </si>
  <si>
    <t xml:space="preserve">unqualified</t>
  </si>
  <si>
    <t xml:space="preserve">adverse</t>
  </si>
  <si>
    <r>
      <rPr>
        <b val="true"/>
        <sz val="13"/>
        <color rgb="FF1B2748"/>
        <rFont val="Noto Sans CJK SC"/>
        <family val="2"/>
      </rPr>
      <t xml:space="preserve">代表企業 </t>
    </r>
    <r>
      <rPr>
        <b val="true"/>
        <sz val="13"/>
        <color rgb="FF1B2748"/>
        <rFont val="Arial"/>
        <family val="0"/>
        <charset val="1"/>
      </rPr>
      <t xml:space="preserve">20</t>
    </r>
    <r>
      <rPr>
        <b val="true"/>
        <sz val="13"/>
        <color rgb="FF1B2748"/>
        <rFont val="Noto Sans CJK SC"/>
        <family val="2"/>
      </rPr>
      <t xml:space="preserve">年 財務三表（</t>
    </r>
    <r>
      <rPr>
        <b val="true"/>
        <sz val="13"/>
        <color rgb="FF1B2748"/>
        <rFont val="Arial"/>
        <family val="0"/>
        <charset val="1"/>
      </rPr>
      <t xml:space="preserve">JGAAP</t>
    </r>
    <r>
      <rPr>
        <b val="true"/>
        <sz val="13"/>
        <color rgb="FF1B2748"/>
        <rFont val="Noto Sans CJK SC"/>
        <family val="2"/>
      </rPr>
      <t xml:space="preserve">・</t>
    </r>
    <r>
      <rPr>
        <b val="true"/>
        <sz val="13"/>
        <color rgb="FF1B2748"/>
        <rFont val="Arial"/>
        <family val="0"/>
        <charset val="1"/>
      </rPr>
      <t xml:space="preserve">TSE</t>
    </r>
    <r>
      <rPr>
        <b val="true"/>
        <sz val="13"/>
        <color rgb="FF1B2748"/>
        <rFont val="Noto Sans CJK SC"/>
        <family val="2"/>
      </rPr>
      <t xml:space="preserve">上場 </t>
    </r>
    <r>
      <rPr>
        <b val="true"/>
        <sz val="13"/>
        <color rgb="FF1B2748"/>
        <rFont val="Arial"/>
        <family val="0"/>
        <charset val="1"/>
      </rPr>
      <t xml:space="preserve">/ </t>
    </r>
    <r>
      <rPr>
        <b val="true"/>
        <sz val="13"/>
        <color rgb="FF1B2748"/>
        <rFont val="Noto Sans CJK SC"/>
        <family val="2"/>
      </rPr>
      <t xml:space="preserve">最大</t>
    </r>
    <r>
      <rPr>
        <b val="true"/>
        <sz val="13"/>
        <color rgb="FF1B2748"/>
        <rFont val="Arial"/>
        <family val="0"/>
        <charset val="1"/>
      </rPr>
      <t xml:space="preserve">100</t>
    </r>
    <r>
      <rPr>
        <b val="true"/>
        <sz val="13"/>
        <color rgb="FF1B2748"/>
        <rFont val="Noto Sans CJK SC"/>
        <family val="2"/>
      </rPr>
      <t xml:space="preserve">年モデル）</t>
    </r>
  </si>
  <si>
    <r>
      <rPr>
        <i val="true"/>
        <sz val="9"/>
        <color rgb="FF555555"/>
        <rFont val="Noto Sans CJK SC"/>
        <family val="2"/>
      </rPr>
      <t xml:space="preserve">単位：百万円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行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年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列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科目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青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入力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黒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数式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小計</t>
    </r>
    <r>
      <rPr>
        <i val="true"/>
        <sz val="9"/>
        <color rgb="FF555555"/>
        <rFont val="Arial"/>
        <family val="0"/>
        <charset val="1"/>
      </rPr>
      <t xml:space="preserve">) / </t>
    </r>
    <r>
      <rPr>
        <i val="true"/>
        <sz val="9"/>
        <color rgb="FF555555"/>
        <rFont val="Noto Sans CJK SC"/>
        <family val="2"/>
      </rPr>
      <t xml:space="preserve">検証列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資産</t>
    </r>
    <r>
      <rPr>
        <i val="true"/>
        <sz val="9"/>
        <color rgb="FF555555"/>
        <rFont val="Arial"/>
        <family val="0"/>
        <charset val="1"/>
      </rPr>
      <t xml:space="preserve">-(</t>
    </r>
    <r>
      <rPr>
        <i val="true"/>
        <sz val="9"/>
        <color rgb="FF555555"/>
        <rFont val="Noto Sans CJK SC"/>
        <family val="2"/>
      </rPr>
      <t xml:space="preserve">負債</t>
    </r>
    <r>
      <rPr>
        <i val="true"/>
        <sz val="9"/>
        <color rgb="FF555555"/>
        <rFont val="Arial"/>
        <family val="0"/>
        <charset val="1"/>
      </rPr>
      <t xml:space="preserve">+</t>
    </r>
    <r>
      <rPr>
        <i val="true"/>
        <sz val="9"/>
        <color rgb="FF555555"/>
        <rFont val="Noto Sans CJK SC"/>
        <family val="2"/>
      </rPr>
      <t xml:space="preserve">純資産</t>
    </r>
    <r>
      <rPr>
        <i val="true"/>
        <sz val="9"/>
        <color rgb="FF555555"/>
        <rFont val="Arial"/>
        <family val="0"/>
        <charset val="1"/>
      </rPr>
      <t xml:space="preserve">)=0 / </t>
    </r>
    <r>
      <rPr>
        <i val="true"/>
        <sz val="9"/>
        <color rgb="FF555555"/>
        <rFont val="Noto Sans CJK SC"/>
        <family val="2"/>
      </rPr>
      <t xml:space="preserve">数値はシミュレーション値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実額較正前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</si>
  <si>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構え</t>
  </si>
  <si>
    <t xml:space="preserve">景気</t>
  </si>
  <si>
    <t xml:space="preserve">売上高</t>
  </si>
  <si>
    <t xml:space="preserve">売上原価</t>
  </si>
  <si>
    <t xml:space="preserve">売上総利益</t>
  </si>
  <si>
    <t xml:space="preserve">販管費</t>
  </si>
  <si>
    <t xml:space="preserve">減価償却費</t>
  </si>
  <si>
    <t xml:space="preserve">営業利益</t>
  </si>
  <si>
    <t xml:space="preserve">支払利息</t>
  </si>
  <si>
    <t xml:space="preserve">経常利益</t>
  </si>
  <si>
    <r>
      <rPr>
        <b val="true"/>
        <sz val="10"/>
        <color rgb="FFFFFFFF"/>
        <rFont val="Noto Sans CJK SC"/>
        <family val="2"/>
      </rPr>
      <t xml:space="preserve">減損損失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特別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</si>
  <si>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税引前純利益</t>
  </si>
  <si>
    <t xml:space="preserve">法人税等</t>
  </si>
  <si>
    <t xml:space="preserve">当期純利益</t>
  </si>
  <si>
    <t xml:space="preserve">現金</t>
  </si>
  <si>
    <t xml:space="preserve">売掛金</t>
  </si>
  <si>
    <t xml:space="preserve">棚卸資産</t>
  </si>
  <si>
    <r>
      <rPr>
        <b val="true"/>
        <sz val="10"/>
        <color rgb="FFFFFFFF"/>
        <rFont val="Noto Sans CJK SC"/>
        <family val="2"/>
      </rPr>
      <t xml:space="preserve">有形固定資産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</si>
  <si>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資産合計</t>
  </si>
  <si>
    <t xml:space="preserve">買掛金</t>
  </si>
  <si>
    <t xml:space="preserve">短期借入</t>
  </si>
  <si>
    <t xml:space="preserve">長期借入</t>
  </si>
  <si>
    <t xml:space="preserve">負債合計</t>
  </si>
  <si>
    <t xml:space="preserve">資本金</t>
  </si>
  <si>
    <t xml:space="preserve">利益剰余金</t>
  </si>
  <si>
    <t xml:space="preserve">純資産合計</t>
  </si>
  <si>
    <r>
      <rPr>
        <b val="true"/>
        <sz val="10"/>
        <color rgb="FFFFFFFF"/>
        <rFont val="Noto Sans CJK SC"/>
        <family val="2"/>
      </rPr>
      <t xml:space="preserve">検証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資産</t>
    </r>
    <r>
      <rPr>
        <b val="true"/>
        <sz val="10"/>
        <color rgb="FFFFFFFF"/>
        <rFont val="Arial"/>
        <family val="0"/>
        <charset val="1"/>
      </rPr>
      <t xml:space="preserve">-(</t>
    </r>
    <r>
      <rPr>
        <b val="true"/>
        <sz val="10"/>
        <color rgb="FFFFFFFF"/>
        <rFont val="Noto Sans CJK SC"/>
        <family val="2"/>
      </rPr>
      <t xml:space="preserve">負債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純資産</t>
    </r>
    <r>
      <rPr>
        <b val="true"/>
        <sz val="10"/>
        <color rgb="FFFFFFFF"/>
        <rFont val="Arial"/>
        <family val="0"/>
        <charset val="1"/>
      </rPr>
      <t xml:space="preserve">))</t>
    </r>
  </si>
  <si>
    <r>
      <rPr>
        <b val="true"/>
        <sz val="10"/>
        <color rgb="FFFFFFFF"/>
        <rFont val="Noto Sans CJK SC"/>
        <family val="2"/>
      </rPr>
      <t xml:space="preserve">営業</t>
    </r>
    <r>
      <rPr>
        <b val="true"/>
        <sz val="10"/>
        <color rgb="FFFFFFFF"/>
        <rFont val="Arial"/>
        <family val="0"/>
        <charset val="1"/>
      </rPr>
      <t xml:space="preserve">CF</t>
    </r>
  </si>
  <si>
    <r>
      <rPr>
        <b val="true"/>
        <sz val="10"/>
        <color rgb="FFFFFFFF"/>
        <rFont val="Noto Sans CJK SC"/>
        <family val="2"/>
      </rPr>
      <t xml:space="preserve">投資</t>
    </r>
    <r>
      <rPr>
        <b val="true"/>
        <sz val="10"/>
        <color rgb="FFFFFFFF"/>
        <rFont val="Arial"/>
        <family val="0"/>
        <charset val="1"/>
      </rPr>
      <t xml:space="preserve">CF</t>
    </r>
  </si>
  <si>
    <r>
      <rPr>
        <b val="true"/>
        <sz val="10"/>
        <color rgb="FFFFFFFF"/>
        <rFont val="Noto Sans CJK SC"/>
        <family val="2"/>
      </rPr>
      <t xml:space="preserve">財務</t>
    </r>
    <r>
      <rPr>
        <b val="true"/>
        <sz val="10"/>
        <color rgb="FFFFFFFF"/>
        <rFont val="Arial"/>
        <family val="0"/>
        <charset val="1"/>
      </rPr>
      <t xml:space="preserve">CF</t>
    </r>
  </si>
  <si>
    <t xml:space="preserve">現金増減</t>
  </si>
  <si>
    <t xml:space="preserve">継続企業の前提疑義</t>
  </si>
  <si>
    <t xml:space="preserve">均衡</t>
  </si>
  <si>
    <t xml:space="preserve">疑義</t>
  </si>
  <si>
    <r>
      <rPr>
        <b val="true"/>
        <sz val="13"/>
        <color rgb="FF1B2748"/>
        <rFont val="Noto Sans CJK SC"/>
        <family val="2"/>
      </rPr>
      <t xml:space="preserve">対照</t>
    </r>
    <r>
      <rPr>
        <b val="true"/>
        <sz val="13"/>
        <color rgb="FF1B2748"/>
        <rFont val="Arial"/>
        <family val="0"/>
        <charset val="1"/>
      </rPr>
      <t xml:space="preserve">: </t>
    </r>
    <r>
      <rPr>
        <b val="true"/>
        <sz val="13"/>
        <color rgb="FF1B2748"/>
        <rFont val="Noto Sans CJK SC"/>
        <family val="2"/>
      </rPr>
      <t xml:space="preserve">未上場の零細企業（</t>
    </r>
    <r>
      <rPr>
        <b val="true"/>
        <sz val="13"/>
        <color rgb="FF1B2748"/>
        <rFont val="Arial"/>
        <family val="0"/>
        <charset val="1"/>
      </rPr>
      <t xml:space="preserve">10</t>
    </r>
    <r>
      <rPr>
        <b val="true"/>
        <sz val="13"/>
        <color rgb="FF1B2748"/>
        <rFont val="Noto Sans CJK SC"/>
        <family val="2"/>
      </rPr>
      <t xml:space="preserve">年で資金繰り破綻</t>
    </r>
    <r>
      <rPr>
        <b val="true"/>
        <sz val="13"/>
        <color rgb="FF1B2748"/>
        <rFont val="Arial"/>
        <family val="0"/>
        <charset val="1"/>
      </rPr>
      <t xml:space="preserve">(</t>
    </r>
    <r>
      <rPr>
        <b val="true"/>
        <sz val="13"/>
        <color rgb="FF1B2748"/>
        <rFont val="Noto Sans CJK SC"/>
        <family val="2"/>
      </rPr>
      <t xml:space="preserve">融資も増資も得られず</t>
    </r>
    <r>
      <rPr>
        <b val="true"/>
        <sz val="13"/>
        <color rgb="FF1B2748"/>
        <rFont val="Arial"/>
        <family val="0"/>
        <charset val="1"/>
      </rPr>
      <t xml:space="preserve">)</t>
    </r>
    <r>
      <rPr>
        <b val="true"/>
        <sz val="13"/>
        <color rgb="FF1B2748"/>
        <rFont val="Noto Sans CJK SC"/>
        <family val="2"/>
      </rPr>
      <t xml:space="preserve">）</t>
    </r>
  </si>
  <si>
    <r>
      <rPr>
        <i val="true"/>
        <sz val="9"/>
        <color rgb="FF555555"/>
        <rFont val="Noto Sans CJK SC"/>
        <family val="2"/>
      </rPr>
      <t xml:space="preserve">単位：百万円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上場せず資本市場アクセスなく流動性破綻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零細が潰れるのは当たり前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</si>
</sst>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748"/>
      <name val="Arial"/>
      <family val="0"/>
      <charset val="1"/>
    </font>
    <font>
      <b val="true"/>
      <sz val="13"/>
      <color rgb="FF1B2748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1"/>
      <color theme="1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1B2748"/>
      <name val="Noto Sans CJK SC"/>
      <family val="2"/>
    </font>
    <font>
      <b val="true"/>
      <sz val="10"/>
      <color rgb="FF1B2748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392B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B2748"/>
        <bgColor rgb="FF003366"/>
      </patternFill>
    </fill>
    <fill>
      <patternFill patternType="solid">
        <fgColor rgb="FFEEF1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7.15" hidden="false" customHeight="false" outlineLevel="0" collapsed="false">
      <c r="A5" s="4" t="s">
        <v>10</v>
      </c>
      <c r="B5" s="4" t="s">
        <v>11</v>
      </c>
      <c r="C5" s="0" t="s">
        <v>12</v>
      </c>
      <c r="D5" s="5" t="n">
        <v>1442</v>
      </c>
      <c r="E5" s="0" t="n">
        <v>2</v>
      </c>
      <c r="F5" s="4" t="s">
        <v>13</v>
      </c>
      <c r="G5" s="4" t="s">
        <v>14</v>
      </c>
      <c r="H5" s="6" t="s">
        <v>15</v>
      </c>
    </row>
    <row r="6" customFormat="false" ht="17.15" hidden="false" customHeight="false" outlineLevel="0" collapsed="false">
      <c r="A6" s="4" t="s">
        <v>16</v>
      </c>
      <c r="B6" s="4" t="s">
        <v>17</v>
      </c>
      <c r="C6" s="0" t="s">
        <v>18</v>
      </c>
      <c r="D6" s="5" t="n">
        <v>-94</v>
      </c>
      <c r="E6" s="0" t="n">
        <v>1</v>
      </c>
      <c r="F6" s="4" t="s">
        <v>13</v>
      </c>
      <c r="G6" s="4" t="s">
        <v>19</v>
      </c>
      <c r="H6" s="6" t="s">
        <v>20</v>
      </c>
    </row>
    <row r="8" customFormat="false" ht="15" hidden="false" customHeight="false" outlineLevel="0" collapsed="false">
      <c r="A8" s="7" t="s">
        <v>21</v>
      </c>
    </row>
    <row r="9" customFormat="false" ht="15" hidden="false" customHeight="false" outlineLevel="0" collapsed="false">
      <c r="A9" s="8" t="s">
        <v>2</v>
      </c>
      <c r="B9" s="8" t="s">
        <v>22</v>
      </c>
      <c r="C9" s="8" t="s">
        <v>23</v>
      </c>
      <c r="D9" s="8" t="s">
        <v>24</v>
      </c>
      <c r="E9" s="8" t="s">
        <v>25</v>
      </c>
    </row>
    <row r="10" customFormat="false" ht="17.15" hidden="false" customHeight="false" outlineLevel="0" collapsed="false">
      <c r="A10" s="4" t="s">
        <v>10</v>
      </c>
      <c r="B10" s="0" t="n">
        <v>1.8</v>
      </c>
      <c r="C10" s="0" t="n">
        <v>3</v>
      </c>
      <c r="D10" s="4" t="s">
        <v>26</v>
      </c>
      <c r="E10" s="0" t="n">
        <v>403</v>
      </c>
    </row>
    <row r="11" customFormat="false" ht="17.15" hidden="false" customHeight="false" outlineLevel="0" collapsed="false">
      <c r="A11" s="4" t="s">
        <v>10</v>
      </c>
      <c r="B11" s="0" t="n">
        <v>9</v>
      </c>
      <c r="C11" s="0" t="n">
        <v>10.5</v>
      </c>
      <c r="D11" s="4" t="s">
        <v>26</v>
      </c>
      <c r="E11" s="0" t="n">
        <v>1443</v>
      </c>
    </row>
    <row r="12" customFormat="false" ht="17.15" hidden="false" customHeight="false" outlineLevel="0" collapsed="false">
      <c r="A12" s="4" t="s">
        <v>16</v>
      </c>
      <c r="B12" s="0" t="n">
        <v>19.5</v>
      </c>
      <c r="C12" s="0" t="n">
        <v>19.8</v>
      </c>
      <c r="D12" s="4" t="s">
        <v>27</v>
      </c>
      <c r="E12" s="0" t="n">
        <v>-94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1" min="20" style="0" width="8"/>
    <col collapsed="false" customWidth="true" hidden="false" outlineLevel="0" max="22" min="22" style="0" width="9"/>
    <col collapsed="false" customWidth="true" hidden="false" outlineLevel="0" max="23" min="23" style="0" width="13"/>
  </cols>
  <sheetData>
    <row r="1" customFormat="false" ht="20.1" hidden="false" customHeight="false" outlineLevel="0" collapsed="false">
      <c r="A1" s="9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7" t="s">
        <v>30</v>
      </c>
    </row>
    <row r="5" customFormat="false" ht="29.8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3" t="s">
        <v>48</v>
      </c>
      <c r="S5" s="3" t="s">
        <v>49</v>
      </c>
      <c r="T5" s="3" t="s">
        <v>50</v>
      </c>
      <c r="U5" s="10" t="s">
        <v>51</v>
      </c>
      <c r="V5" s="10" t="s">
        <v>52</v>
      </c>
      <c r="W5" s="3" t="s">
        <v>53</v>
      </c>
    </row>
    <row r="6" customFormat="false" ht="15" hidden="false" customHeight="false" outlineLevel="0" collapsed="false">
      <c r="A6" s="11" t="n">
        <v>1</v>
      </c>
      <c r="B6" s="11" t="n">
        <v>1</v>
      </c>
      <c r="C6" s="12" t="n">
        <v>0.256</v>
      </c>
      <c r="D6" s="11" t="n">
        <v>4</v>
      </c>
      <c r="E6" s="13" t="n">
        <v>51008</v>
      </c>
      <c r="F6" s="11" t="n">
        <v>0</v>
      </c>
      <c r="G6" s="14" t="s">
        <v>54</v>
      </c>
      <c r="H6" s="13" t="s">
        <v>55</v>
      </c>
      <c r="I6" s="13" t="s">
        <v>56</v>
      </c>
      <c r="J6" s="13" t="s">
        <v>57</v>
      </c>
      <c r="K6" s="5" t="n">
        <v>0</v>
      </c>
      <c r="L6" s="13" t="n">
        <v>1</v>
      </c>
      <c r="M6" s="13" t="n">
        <v>0</v>
      </c>
      <c r="N6" s="5" t="n">
        <v>0</v>
      </c>
      <c r="O6" s="5" t="n">
        <v>0</v>
      </c>
      <c r="P6" s="5" t="n">
        <v>0</v>
      </c>
      <c r="Q6" s="13" t="n">
        <v>100</v>
      </c>
      <c r="R6" s="11" t="n">
        <v>1</v>
      </c>
      <c r="S6" s="11" t="n">
        <v>1</v>
      </c>
      <c r="T6" s="15" t="n">
        <v>0</v>
      </c>
      <c r="U6" s="15" t="n">
        <v>0</v>
      </c>
      <c r="V6" s="15" t="n">
        <v>1</v>
      </c>
      <c r="W6" s="11" t="n">
        <v>0</v>
      </c>
    </row>
    <row r="7" customFormat="false" ht="15" hidden="false" customHeight="false" outlineLevel="0" collapsed="false">
      <c r="A7" s="11" t="n">
        <v>2</v>
      </c>
      <c r="B7" s="11" t="n">
        <v>1</v>
      </c>
      <c r="C7" s="12" t="n">
        <v>0.287</v>
      </c>
      <c r="D7" s="11" t="n">
        <v>3</v>
      </c>
      <c r="E7" s="13" t="n">
        <v>38970</v>
      </c>
      <c r="F7" s="11" t="n">
        <v>0</v>
      </c>
      <c r="G7" s="14" t="s">
        <v>54</v>
      </c>
      <c r="H7" s="13" t="s">
        <v>55</v>
      </c>
      <c r="I7" s="13" t="s">
        <v>56</v>
      </c>
      <c r="J7" s="13" t="s">
        <v>57</v>
      </c>
      <c r="K7" s="5" t="n">
        <v>0</v>
      </c>
      <c r="L7" s="13" t="n">
        <v>0.94</v>
      </c>
      <c r="M7" s="13" t="n">
        <v>0</v>
      </c>
      <c r="N7" s="5" t="n">
        <v>0</v>
      </c>
      <c r="O7" s="5" t="n">
        <v>0</v>
      </c>
      <c r="P7" s="5" t="n">
        <v>0</v>
      </c>
      <c r="Q7" s="13" t="n">
        <v>100</v>
      </c>
      <c r="R7" s="11" t="n">
        <v>1</v>
      </c>
      <c r="S7" s="11" t="n">
        <v>1</v>
      </c>
      <c r="T7" s="15" t="n">
        <v>0</v>
      </c>
      <c r="U7" s="15" t="n">
        <v>0</v>
      </c>
      <c r="V7" s="15" t="n">
        <v>1</v>
      </c>
      <c r="W7" s="11" t="n">
        <v>1</v>
      </c>
    </row>
    <row r="8" customFormat="false" ht="15" hidden="false" customHeight="false" outlineLevel="0" collapsed="false">
      <c r="A8" s="11" t="n">
        <v>3</v>
      </c>
      <c r="B8" s="11" t="n">
        <v>1</v>
      </c>
      <c r="C8" s="12" t="n">
        <v>0.408</v>
      </c>
      <c r="D8" s="11" t="n">
        <v>2</v>
      </c>
      <c r="E8" s="13" t="n">
        <v>40143</v>
      </c>
      <c r="F8" s="11" t="n">
        <v>0</v>
      </c>
      <c r="G8" s="14" t="s">
        <v>54</v>
      </c>
      <c r="H8" s="13" t="s">
        <v>55</v>
      </c>
      <c r="I8" s="13" t="s">
        <v>56</v>
      </c>
      <c r="J8" s="13" t="s">
        <v>57</v>
      </c>
      <c r="K8" s="5" t="n">
        <v>0</v>
      </c>
      <c r="L8" s="13" t="n">
        <v>0.89</v>
      </c>
      <c r="M8" s="13" t="n">
        <v>0</v>
      </c>
      <c r="N8" s="5" t="n">
        <v>0</v>
      </c>
      <c r="O8" s="5" t="n">
        <v>0</v>
      </c>
      <c r="P8" s="5" t="n">
        <v>0</v>
      </c>
      <c r="Q8" s="13" t="n">
        <v>100</v>
      </c>
      <c r="R8" s="11" t="n">
        <v>1</v>
      </c>
      <c r="S8" s="11" t="n">
        <v>1</v>
      </c>
      <c r="T8" s="15" t="n">
        <v>0</v>
      </c>
      <c r="U8" s="15" t="n">
        <v>0</v>
      </c>
      <c r="V8" s="15" t="n">
        <v>0.92</v>
      </c>
      <c r="W8" s="11" t="n">
        <v>1</v>
      </c>
    </row>
    <row r="9" customFormat="false" ht="15" hidden="false" customHeight="false" outlineLevel="0" collapsed="false">
      <c r="A9" s="11" t="n">
        <v>4</v>
      </c>
      <c r="B9" s="11" t="n">
        <v>1</v>
      </c>
      <c r="C9" s="12" t="n">
        <v>0.433</v>
      </c>
      <c r="D9" s="11" t="n">
        <v>2</v>
      </c>
      <c r="E9" s="13" t="n">
        <v>41351</v>
      </c>
      <c r="F9" s="11" t="n">
        <v>0</v>
      </c>
      <c r="G9" s="14" t="s">
        <v>54</v>
      </c>
      <c r="H9" s="13" t="s">
        <v>55</v>
      </c>
      <c r="I9" s="13" t="s">
        <v>56</v>
      </c>
      <c r="J9" s="13" t="s">
        <v>57</v>
      </c>
      <c r="K9" s="5" t="n">
        <v>0</v>
      </c>
      <c r="L9" s="13" t="n">
        <v>0.86</v>
      </c>
      <c r="M9" s="13" t="n">
        <v>0</v>
      </c>
      <c r="N9" s="5" t="n">
        <v>0</v>
      </c>
      <c r="O9" s="5" t="n">
        <v>0</v>
      </c>
      <c r="P9" s="5" t="n">
        <v>0</v>
      </c>
      <c r="Q9" s="13" t="n">
        <v>100</v>
      </c>
      <c r="R9" s="11" t="n">
        <v>2</v>
      </c>
      <c r="S9" s="11" t="n">
        <v>1</v>
      </c>
      <c r="T9" s="15" t="n">
        <v>0</v>
      </c>
      <c r="U9" s="15" t="n">
        <v>0</v>
      </c>
      <c r="V9" s="15" t="n">
        <v>0.92</v>
      </c>
      <c r="W9" s="11" t="n">
        <v>1</v>
      </c>
    </row>
    <row r="10" customFormat="false" ht="15" hidden="false" customHeight="false" outlineLevel="0" collapsed="false">
      <c r="A10" s="11" t="n">
        <v>5</v>
      </c>
      <c r="B10" s="11" t="n">
        <v>1</v>
      </c>
      <c r="C10" s="12" t="n">
        <v>0.471</v>
      </c>
      <c r="D10" s="11" t="n">
        <v>2</v>
      </c>
      <c r="E10" s="13" t="n">
        <v>49718</v>
      </c>
      <c r="F10" s="11" t="n">
        <v>1</v>
      </c>
      <c r="G10" s="14" t="s">
        <v>54</v>
      </c>
      <c r="H10" s="13" t="s">
        <v>55</v>
      </c>
      <c r="I10" s="13" t="s">
        <v>56</v>
      </c>
      <c r="J10" s="13" t="s">
        <v>57</v>
      </c>
      <c r="K10" s="5" t="n">
        <v>0</v>
      </c>
      <c r="L10" s="13" t="n">
        <v>0.84</v>
      </c>
      <c r="M10" s="13" t="n">
        <v>0</v>
      </c>
      <c r="N10" s="5" t="n">
        <v>0</v>
      </c>
      <c r="O10" s="5" t="n">
        <v>39000000</v>
      </c>
      <c r="P10" s="5" t="n">
        <v>0</v>
      </c>
      <c r="Q10" s="13" t="n">
        <v>100</v>
      </c>
      <c r="R10" s="11" t="n">
        <v>3</v>
      </c>
      <c r="S10" s="11" t="n">
        <v>1</v>
      </c>
      <c r="T10" s="15" t="n">
        <v>0</v>
      </c>
      <c r="U10" s="15" t="n">
        <v>0</v>
      </c>
      <c r="V10" s="15" t="n">
        <v>0.92</v>
      </c>
      <c r="W10" s="11" t="n">
        <v>1</v>
      </c>
    </row>
    <row r="11" customFormat="false" ht="15" hidden="false" customHeight="false" outlineLevel="0" collapsed="false">
      <c r="A11" s="11" t="n">
        <v>6</v>
      </c>
      <c r="B11" s="11" t="n">
        <v>1</v>
      </c>
      <c r="C11" s="12" t="n">
        <v>0.352</v>
      </c>
      <c r="D11" s="11" t="n">
        <v>3</v>
      </c>
      <c r="E11" s="13" t="n">
        <v>51214</v>
      </c>
      <c r="F11" s="11" t="n">
        <v>1</v>
      </c>
      <c r="G11" s="14" t="s">
        <v>54</v>
      </c>
      <c r="H11" s="13" t="s">
        <v>55</v>
      </c>
      <c r="I11" s="13" t="s">
        <v>56</v>
      </c>
      <c r="J11" s="13" t="s">
        <v>57</v>
      </c>
      <c r="K11" s="5" t="n">
        <v>0</v>
      </c>
      <c r="L11" s="13" t="n">
        <v>0.78</v>
      </c>
      <c r="M11" s="13" t="n">
        <v>0</v>
      </c>
      <c r="N11" s="5" t="n">
        <v>0</v>
      </c>
      <c r="O11" s="5" t="n">
        <v>35243827.7</v>
      </c>
      <c r="P11" s="5" t="n">
        <v>0</v>
      </c>
      <c r="Q11" s="13" t="n">
        <v>103</v>
      </c>
      <c r="R11" s="11" t="n">
        <v>4</v>
      </c>
      <c r="S11" s="11" t="n">
        <v>1</v>
      </c>
      <c r="T11" s="15" t="n">
        <v>0</v>
      </c>
      <c r="U11" s="15" t="n">
        <v>0</v>
      </c>
      <c r="V11" s="15" t="n">
        <v>0.92</v>
      </c>
      <c r="W11" s="11" t="n">
        <v>1</v>
      </c>
    </row>
    <row r="12" customFormat="false" ht="15" hidden="false" customHeight="false" outlineLevel="0" collapsed="false">
      <c r="A12" s="11" t="n">
        <v>7</v>
      </c>
      <c r="B12" s="11" t="n">
        <v>1</v>
      </c>
      <c r="C12" s="12" t="n">
        <v>0.337</v>
      </c>
      <c r="D12" s="11" t="n">
        <v>4</v>
      </c>
      <c r="E12" s="13" t="n">
        <v>52755</v>
      </c>
      <c r="F12" s="11" t="n">
        <v>1</v>
      </c>
      <c r="G12" s="14" t="s">
        <v>54</v>
      </c>
      <c r="H12" s="13" t="s">
        <v>55</v>
      </c>
      <c r="I12" s="13" t="s">
        <v>56</v>
      </c>
      <c r="J12" s="13" t="s">
        <v>57</v>
      </c>
      <c r="K12" s="5" t="n">
        <v>0</v>
      </c>
      <c r="L12" s="13" t="n">
        <v>0.79</v>
      </c>
      <c r="M12" s="13" t="n">
        <v>0</v>
      </c>
      <c r="N12" s="5" t="n">
        <v>0</v>
      </c>
      <c r="O12" s="5" t="n">
        <v>31849420.3</v>
      </c>
      <c r="P12" s="5" t="n">
        <v>0</v>
      </c>
      <c r="Q12" s="13" t="n">
        <v>105.4</v>
      </c>
      <c r="R12" s="11" t="n">
        <v>4</v>
      </c>
      <c r="S12" s="11" t="n">
        <v>1</v>
      </c>
      <c r="T12" s="15" t="n">
        <v>0</v>
      </c>
      <c r="U12" s="15" t="n">
        <v>0</v>
      </c>
      <c r="V12" s="15" t="n">
        <v>0.92</v>
      </c>
      <c r="W12" s="11" t="n">
        <v>1</v>
      </c>
    </row>
    <row r="13" customFormat="false" ht="15" hidden="false" customHeight="false" outlineLevel="0" collapsed="false">
      <c r="A13" s="11" t="n">
        <v>8</v>
      </c>
      <c r="B13" s="11" t="n">
        <v>1</v>
      </c>
      <c r="C13" s="12" t="n">
        <v>0.352</v>
      </c>
      <c r="D13" s="11" t="n">
        <v>4</v>
      </c>
      <c r="E13" s="13" t="n">
        <v>54342</v>
      </c>
      <c r="F13" s="11" t="n">
        <v>1</v>
      </c>
      <c r="G13" s="14" t="s">
        <v>54</v>
      </c>
      <c r="H13" s="13" t="s">
        <v>55</v>
      </c>
      <c r="I13" s="13" t="s">
        <v>56</v>
      </c>
      <c r="J13" s="13" t="s">
        <v>57</v>
      </c>
      <c r="K13" s="5" t="n">
        <v>0</v>
      </c>
      <c r="L13" s="13" t="n">
        <v>0.78</v>
      </c>
      <c r="M13" s="13" t="n">
        <v>0</v>
      </c>
      <c r="N13" s="5" t="n">
        <v>0</v>
      </c>
      <c r="O13" s="5" t="n">
        <v>66806935.5</v>
      </c>
      <c r="P13" s="5" t="n">
        <v>0</v>
      </c>
      <c r="Q13" s="13" t="n">
        <v>105.9</v>
      </c>
      <c r="R13" s="11" t="n">
        <v>4</v>
      </c>
      <c r="S13" s="11" t="n">
        <v>1</v>
      </c>
      <c r="T13" s="15" t="n">
        <v>0</v>
      </c>
      <c r="U13" s="15" t="n">
        <v>0</v>
      </c>
      <c r="V13" s="15" t="n">
        <v>0.92</v>
      </c>
      <c r="W13" s="11" t="n">
        <v>1</v>
      </c>
    </row>
    <row r="14" customFormat="false" ht="15" hidden="false" customHeight="false" outlineLevel="0" collapsed="false">
      <c r="A14" s="11" t="n">
        <v>9</v>
      </c>
      <c r="B14" s="11" t="n">
        <v>1</v>
      </c>
      <c r="C14" s="12" t="n">
        <v>0.333</v>
      </c>
      <c r="D14" s="11" t="n">
        <v>4</v>
      </c>
      <c r="E14" s="13" t="n">
        <v>55977</v>
      </c>
      <c r="F14" s="11" t="n">
        <v>1</v>
      </c>
      <c r="G14" s="14" t="s">
        <v>54</v>
      </c>
      <c r="H14" s="13" t="s">
        <v>55</v>
      </c>
      <c r="I14" s="13" t="s">
        <v>56</v>
      </c>
      <c r="J14" s="13" t="s">
        <v>57</v>
      </c>
      <c r="K14" s="5" t="n">
        <v>0</v>
      </c>
      <c r="L14" s="13" t="n">
        <v>0.83</v>
      </c>
      <c r="M14" s="13" t="n">
        <v>0</v>
      </c>
      <c r="N14" s="5" t="n">
        <v>0</v>
      </c>
      <c r="O14" s="5" t="n">
        <v>156897618.6</v>
      </c>
      <c r="P14" s="5" t="n">
        <v>0</v>
      </c>
      <c r="Q14" s="13" t="n">
        <v>107.1</v>
      </c>
      <c r="R14" s="11" t="n">
        <v>4</v>
      </c>
      <c r="S14" s="11" t="n">
        <v>1</v>
      </c>
      <c r="T14" s="15" t="n">
        <v>0</v>
      </c>
      <c r="U14" s="15" t="n">
        <v>0</v>
      </c>
      <c r="V14" s="15" t="n">
        <v>0.92</v>
      </c>
      <c r="W14" s="11" t="n">
        <v>1</v>
      </c>
    </row>
    <row r="15" customFormat="false" ht="15" hidden="false" customHeight="false" outlineLevel="0" collapsed="false">
      <c r="A15" s="11" t="n">
        <v>10</v>
      </c>
      <c r="B15" s="11" t="n">
        <v>1</v>
      </c>
      <c r="C15" s="12" t="n">
        <v>0.306</v>
      </c>
      <c r="D15" s="11" t="n">
        <v>4</v>
      </c>
      <c r="E15" s="13" t="n">
        <v>57522</v>
      </c>
      <c r="F15" s="11" t="n">
        <v>1</v>
      </c>
      <c r="G15" s="14" t="s">
        <v>54</v>
      </c>
      <c r="H15" s="13" t="s">
        <v>55</v>
      </c>
      <c r="I15" s="13" t="s">
        <v>56</v>
      </c>
      <c r="J15" s="13" t="s">
        <v>57</v>
      </c>
      <c r="K15" s="5" t="n">
        <v>0</v>
      </c>
      <c r="L15" s="13" t="n">
        <v>0.72</v>
      </c>
      <c r="M15" s="13" t="n">
        <v>0</v>
      </c>
      <c r="N15" s="5" t="n">
        <v>0</v>
      </c>
      <c r="O15" s="5" t="n">
        <v>141786478</v>
      </c>
      <c r="P15" s="5" t="n">
        <v>0</v>
      </c>
      <c r="Q15" s="13" t="n">
        <v>107.7</v>
      </c>
      <c r="R15" s="11" t="n">
        <v>5</v>
      </c>
      <c r="S15" s="11" t="n">
        <v>1</v>
      </c>
      <c r="T15" s="15" t="n">
        <v>0</v>
      </c>
      <c r="U15" s="15" t="n">
        <v>0</v>
      </c>
      <c r="V15" s="15" t="n">
        <v>0.92</v>
      </c>
      <c r="W15" s="11" t="n">
        <v>1</v>
      </c>
    </row>
    <row r="16" customFormat="false" ht="15" hidden="false" customHeight="false" outlineLevel="0" collapsed="false">
      <c r="A16" s="11" t="n">
        <v>11</v>
      </c>
      <c r="B16" s="11" t="n">
        <v>1</v>
      </c>
      <c r="C16" s="12" t="n">
        <v>0.343</v>
      </c>
      <c r="D16" s="11" t="n">
        <v>4</v>
      </c>
      <c r="E16" s="13" t="n">
        <v>58681</v>
      </c>
      <c r="F16" s="11" t="n">
        <v>1</v>
      </c>
      <c r="G16" s="14" t="s">
        <v>54</v>
      </c>
      <c r="H16" s="13" t="s">
        <v>55</v>
      </c>
      <c r="I16" s="13" t="s">
        <v>56</v>
      </c>
      <c r="J16" s="13" t="s">
        <v>57</v>
      </c>
      <c r="K16" s="5" t="n">
        <v>0</v>
      </c>
      <c r="L16" s="13" t="n">
        <v>0.73</v>
      </c>
      <c r="M16" s="13" t="n">
        <v>0</v>
      </c>
      <c r="N16" s="5" t="n">
        <v>0</v>
      </c>
      <c r="O16" s="5" t="n">
        <v>128130723.2</v>
      </c>
      <c r="P16" s="5" t="n">
        <v>0</v>
      </c>
      <c r="Q16" s="13" t="n">
        <v>108</v>
      </c>
      <c r="R16" s="11" t="n">
        <v>5</v>
      </c>
      <c r="S16" s="11" t="n">
        <v>1</v>
      </c>
      <c r="T16" s="15" t="n">
        <v>0</v>
      </c>
      <c r="U16" s="15" t="n">
        <v>0</v>
      </c>
      <c r="V16" s="15" t="n">
        <v>0.92</v>
      </c>
      <c r="W16" s="11" t="n">
        <v>1</v>
      </c>
    </row>
    <row r="17" customFormat="false" ht="15" hidden="false" customHeight="false" outlineLevel="0" collapsed="false">
      <c r="A17" s="11" t="n">
        <v>12</v>
      </c>
      <c r="B17" s="11" t="n">
        <v>2</v>
      </c>
      <c r="C17" s="12" t="n">
        <v>0.403</v>
      </c>
      <c r="D17" s="11" t="n">
        <v>3</v>
      </c>
      <c r="E17" s="13" t="n">
        <v>59863</v>
      </c>
      <c r="F17" s="11" t="n">
        <v>1</v>
      </c>
      <c r="G17" s="14" t="s">
        <v>54</v>
      </c>
      <c r="H17" s="13" t="s">
        <v>55</v>
      </c>
      <c r="I17" s="13" t="s">
        <v>56</v>
      </c>
      <c r="J17" s="13" t="s">
        <v>57</v>
      </c>
      <c r="K17" s="5" t="n">
        <v>0</v>
      </c>
      <c r="L17" s="13" t="n">
        <v>0.7</v>
      </c>
      <c r="M17" s="13" t="n">
        <v>0</v>
      </c>
      <c r="N17" s="5" t="n">
        <v>0</v>
      </c>
      <c r="O17" s="5" t="n">
        <v>115790183</v>
      </c>
      <c r="P17" s="5" t="n">
        <v>0</v>
      </c>
      <c r="Q17" s="13" t="n">
        <v>111.6</v>
      </c>
      <c r="R17" s="11" t="n">
        <v>5</v>
      </c>
      <c r="S17" s="11" t="n">
        <v>1</v>
      </c>
      <c r="T17" s="15" t="n">
        <v>0</v>
      </c>
      <c r="U17" s="15" t="n">
        <v>0</v>
      </c>
      <c r="V17" s="15" t="n">
        <v>0.92</v>
      </c>
      <c r="W17" s="11" t="n">
        <v>1</v>
      </c>
    </row>
    <row r="18" customFormat="false" ht="15" hidden="false" customHeight="false" outlineLevel="0" collapsed="false">
      <c r="A18" s="11" t="n">
        <v>13</v>
      </c>
      <c r="B18" s="11" t="n">
        <v>2</v>
      </c>
      <c r="C18" s="12" t="n">
        <v>0.405</v>
      </c>
      <c r="D18" s="11" t="n">
        <v>3</v>
      </c>
      <c r="E18" s="13" t="n">
        <v>61070</v>
      </c>
      <c r="F18" s="11" t="n">
        <v>1</v>
      </c>
      <c r="G18" s="14" t="s">
        <v>54</v>
      </c>
      <c r="H18" s="13" t="s">
        <v>55</v>
      </c>
      <c r="I18" s="13" t="s">
        <v>56</v>
      </c>
      <c r="J18" s="13" t="s">
        <v>57</v>
      </c>
      <c r="K18" s="5" t="n">
        <v>0</v>
      </c>
      <c r="L18" s="13" t="n">
        <v>0.6</v>
      </c>
      <c r="M18" s="13" t="n">
        <v>0</v>
      </c>
      <c r="N18" s="5" t="n">
        <v>0</v>
      </c>
      <c r="O18" s="5" t="n">
        <v>104638186.2</v>
      </c>
      <c r="P18" s="5" t="n">
        <v>0</v>
      </c>
      <c r="Q18" s="13" t="n">
        <v>111.7</v>
      </c>
      <c r="R18" s="11" t="n">
        <v>5</v>
      </c>
      <c r="S18" s="11" t="n">
        <v>1</v>
      </c>
      <c r="T18" s="15" t="n">
        <v>0.2</v>
      </c>
      <c r="U18" s="15" t="n">
        <v>0</v>
      </c>
      <c r="V18" s="15" t="n">
        <v>0.92</v>
      </c>
      <c r="W18" s="11" t="n">
        <v>1</v>
      </c>
    </row>
    <row r="19" customFormat="false" ht="15" hidden="false" customHeight="false" outlineLevel="0" collapsed="false">
      <c r="A19" s="11" t="n">
        <v>14</v>
      </c>
      <c r="B19" s="11" t="n">
        <v>2</v>
      </c>
      <c r="C19" s="12" t="n">
        <v>0.409</v>
      </c>
      <c r="D19" s="11" t="n">
        <v>3</v>
      </c>
      <c r="E19" s="13" t="n">
        <v>62300</v>
      </c>
      <c r="F19" s="11" t="n">
        <v>1</v>
      </c>
      <c r="G19" s="14" t="s">
        <v>54</v>
      </c>
      <c r="H19" s="13" t="s">
        <v>55</v>
      </c>
      <c r="I19" s="13" t="s">
        <v>56</v>
      </c>
      <c r="J19" s="13" t="s">
        <v>57</v>
      </c>
      <c r="K19" s="5" t="n">
        <v>0</v>
      </c>
      <c r="L19" s="13" t="n">
        <v>0.54</v>
      </c>
      <c r="M19" s="13" t="n">
        <v>0</v>
      </c>
      <c r="N19" s="5" t="n">
        <v>0</v>
      </c>
      <c r="O19" s="5" t="n">
        <v>94560261.8</v>
      </c>
      <c r="P19" s="5" t="n">
        <v>0</v>
      </c>
      <c r="Q19" s="13" t="n">
        <v>114.8</v>
      </c>
      <c r="R19" s="11" t="n">
        <v>6</v>
      </c>
      <c r="S19" s="11" t="n">
        <v>1</v>
      </c>
      <c r="T19" s="15" t="n">
        <v>0.4</v>
      </c>
      <c r="U19" s="15" t="n">
        <v>0</v>
      </c>
      <c r="V19" s="15" t="n">
        <v>0.92</v>
      </c>
      <c r="W19" s="11" t="n">
        <v>1</v>
      </c>
    </row>
    <row r="20" customFormat="false" ht="15" hidden="false" customHeight="false" outlineLevel="0" collapsed="false">
      <c r="A20" s="11" t="n">
        <v>15</v>
      </c>
      <c r="B20" s="11" t="n">
        <v>2</v>
      </c>
      <c r="C20" s="12" t="n">
        <v>0.466</v>
      </c>
      <c r="D20" s="11" t="n">
        <v>2</v>
      </c>
      <c r="E20" s="13" t="n">
        <v>67794</v>
      </c>
      <c r="F20" s="11" t="n">
        <v>2</v>
      </c>
      <c r="G20" s="14" t="s">
        <v>54</v>
      </c>
      <c r="H20" s="13" t="s">
        <v>55</v>
      </c>
      <c r="I20" s="13" t="s">
        <v>56</v>
      </c>
      <c r="J20" s="13" t="s">
        <v>57</v>
      </c>
      <c r="K20" s="5" t="n">
        <v>0</v>
      </c>
      <c r="L20" s="13" t="n">
        <v>0.47</v>
      </c>
      <c r="M20" s="13" t="n">
        <v>0</v>
      </c>
      <c r="N20" s="5" t="n">
        <v>0</v>
      </c>
      <c r="O20" s="5" t="n">
        <v>123477963.5</v>
      </c>
      <c r="P20" s="5" t="n">
        <v>0</v>
      </c>
      <c r="Q20" s="13" t="n">
        <v>115.5</v>
      </c>
      <c r="R20" s="11" t="n">
        <v>6</v>
      </c>
      <c r="S20" s="11" t="n">
        <v>1</v>
      </c>
      <c r="T20" s="15" t="n">
        <v>0.6</v>
      </c>
      <c r="U20" s="15" t="n">
        <v>0</v>
      </c>
      <c r="V20" s="15" t="n">
        <v>0.92</v>
      </c>
      <c r="W20" s="11" t="n">
        <v>1</v>
      </c>
    </row>
    <row r="21" customFormat="false" ht="15" hidden="false" customHeight="false" outlineLevel="0" collapsed="false">
      <c r="A21" s="11" t="n">
        <v>16</v>
      </c>
      <c r="B21" s="11" t="n">
        <v>2</v>
      </c>
      <c r="C21" s="12" t="n">
        <v>0.47</v>
      </c>
      <c r="D21" s="11" t="n">
        <v>2</v>
      </c>
      <c r="E21" s="13" t="n">
        <v>69160</v>
      </c>
      <c r="F21" s="11" t="n">
        <v>2</v>
      </c>
      <c r="G21" s="14" t="s">
        <v>54</v>
      </c>
      <c r="H21" s="13" t="s">
        <v>55</v>
      </c>
      <c r="I21" s="13" t="s">
        <v>56</v>
      </c>
      <c r="J21" s="13" t="s">
        <v>57</v>
      </c>
      <c r="K21" s="5" t="n">
        <v>0</v>
      </c>
      <c r="L21" s="13" t="n">
        <v>0.42</v>
      </c>
      <c r="M21" s="13" t="n">
        <v>0</v>
      </c>
      <c r="N21" s="5" t="n">
        <v>0</v>
      </c>
      <c r="O21" s="5" t="n">
        <v>168623040.4</v>
      </c>
      <c r="P21" s="5" t="n">
        <v>0</v>
      </c>
      <c r="Q21" s="13" t="n">
        <v>115.9</v>
      </c>
      <c r="R21" s="11" t="n">
        <v>6</v>
      </c>
      <c r="S21" s="11" t="n">
        <v>2</v>
      </c>
      <c r="T21" s="15" t="n">
        <v>0.6</v>
      </c>
      <c r="U21" s="15" t="n">
        <v>0</v>
      </c>
      <c r="V21" s="15" t="n">
        <v>0.92</v>
      </c>
      <c r="W21" s="11" t="n">
        <v>1</v>
      </c>
    </row>
    <row r="22" customFormat="false" ht="15" hidden="false" customHeight="false" outlineLevel="0" collapsed="false">
      <c r="A22" s="11" t="n">
        <v>17</v>
      </c>
      <c r="B22" s="11" t="n">
        <v>2</v>
      </c>
      <c r="C22" s="12" t="n">
        <v>0.466</v>
      </c>
      <c r="D22" s="11" t="n">
        <v>2</v>
      </c>
      <c r="E22" s="13" t="n">
        <v>71045</v>
      </c>
      <c r="F22" s="11" t="n">
        <v>2</v>
      </c>
      <c r="G22" s="14" t="s">
        <v>37</v>
      </c>
      <c r="H22" s="13" t="s">
        <v>58</v>
      </c>
      <c r="I22" s="13" t="s">
        <v>59</v>
      </c>
      <c r="J22" s="13" t="s">
        <v>60</v>
      </c>
      <c r="K22" s="5" t="n">
        <v>5783408</v>
      </c>
      <c r="L22" s="13" t="n">
        <v>0.44</v>
      </c>
      <c r="M22" s="13" t="n">
        <v>0.12</v>
      </c>
      <c r="N22" s="5" t="n">
        <v>0</v>
      </c>
      <c r="O22" s="5" t="n">
        <v>190407599.7</v>
      </c>
      <c r="P22" s="5" t="n">
        <v>0</v>
      </c>
      <c r="Q22" s="13" t="n">
        <v>255.2</v>
      </c>
      <c r="R22" s="11" t="n">
        <v>6</v>
      </c>
      <c r="S22" s="11" t="n">
        <v>2</v>
      </c>
      <c r="T22" s="15" t="n">
        <v>0.8</v>
      </c>
      <c r="U22" s="15" t="n">
        <v>0</v>
      </c>
      <c r="V22" s="15" t="n">
        <v>0.92</v>
      </c>
      <c r="W22" s="11" t="n">
        <v>1</v>
      </c>
    </row>
    <row r="23" customFormat="false" ht="15" hidden="false" customHeight="false" outlineLevel="0" collapsed="false">
      <c r="A23" s="11" t="n">
        <v>18</v>
      </c>
      <c r="B23" s="11" t="n">
        <v>2</v>
      </c>
      <c r="C23" s="12" t="n">
        <v>0.482</v>
      </c>
      <c r="D23" s="11" t="n">
        <v>2</v>
      </c>
      <c r="E23" s="13" t="n">
        <v>74517</v>
      </c>
      <c r="F23" s="11" t="n">
        <v>2</v>
      </c>
      <c r="G23" s="14" t="s">
        <v>37</v>
      </c>
      <c r="H23" s="13" t="s">
        <v>58</v>
      </c>
      <c r="I23" s="13" t="s">
        <v>59</v>
      </c>
      <c r="J23" s="13" t="s">
        <v>60</v>
      </c>
      <c r="K23" s="5" t="n">
        <v>4032067</v>
      </c>
      <c r="L23" s="13" t="n">
        <v>0.51</v>
      </c>
      <c r="M23" s="13" t="n">
        <v>0.6</v>
      </c>
      <c r="N23" s="5" t="n">
        <v>0</v>
      </c>
      <c r="O23" s="5" t="n">
        <v>209143417.1</v>
      </c>
      <c r="P23" s="5" t="n">
        <v>0</v>
      </c>
      <c r="Q23" s="13" t="n">
        <v>255.2</v>
      </c>
      <c r="R23" s="11" t="n">
        <v>6</v>
      </c>
      <c r="S23" s="11" t="n">
        <v>2</v>
      </c>
      <c r="T23" s="15" t="n">
        <v>0.8</v>
      </c>
      <c r="U23" s="15" t="n">
        <v>0</v>
      </c>
      <c r="V23" s="15" t="n">
        <v>0.92</v>
      </c>
      <c r="W23" s="11" t="n">
        <v>1</v>
      </c>
    </row>
    <row r="24" customFormat="false" ht="15" hidden="false" customHeight="false" outlineLevel="0" collapsed="false">
      <c r="A24" s="11" t="n">
        <v>19</v>
      </c>
      <c r="B24" s="11" t="n">
        <v>2</v>
      </c>
      <c r="C24" s="12" t="n">
        <v>0.415</v>
      </c>
      <c r="D24" s="11" t="n">
        <v>2</v>
      </c>
      <c r="E24" s="13" t="n">
        <v>78159</v>
      </c>
      <c r="F24" s="11" t="n">
        <v>2</v>
      </c>
      <c r="G24" s="14" t="s">
        <v>37</v>
      </c>
      <c r="H24" s="13" t="s">
        <v>58</v>
      </c>
      <c r="I24" s="13" t="s">
        <v>59</v>
      </c>
      <c r="J24" s="13" t="s">
        <v>60</v>
      </c>
      <c r="K24" s="5" t="n">
        <v>1578780</v>
      </c>
      <c r="L24" s="13" t="n">
        <v>0.55</v>
      </c>
      <c r="M24" s="13" t="n">
        <v>1</v>
      </c>
      <c r="N24" s="5" t="n">
        <v>0</v>
      </c>
      <c r="O24" s="5" t="n">
        <v>189000373.4</v>
      </c>
      <c r="P24" s="5" t="n">
        <v>212489835.4</v>
      </c>
      <c r="Q24" s="13" t="n">
        <v>218.8</v>
      </c>
      <c r="R24" s="11" t="n">
        <v>7</v>
      </c>
      <c r="S24" s="11" t="n">
        <v>2</v>
      </c>
      <c r="T24" s="15" t="n">
        <v>0.8</v>
      </c>
      <c r="U24" s="15" t="n">
        <v>0</v>
      </c>
      <c r="V24" s="15" t="n">
        <v>0.92</v>
      </c>
      <c r="W24" s="11" t="n">
        <v>1</v>
      </c>
    </row>
    <row r="25" customFormat="false" ht="15" hidden="false" customHeight="false" outlineLevel="0" collapsed="false">
      <c r="A25" s="11" t="n">
        <v>20</v>
      </c>
      <c r="B25" s="11" t="n">
        <v>2</v>
      </c>
      <c r="C25" s="12" t="n">
        <v>0.386</v>
      </c>
      <c r="D25" s="11" t="n">
        <v>2</v>
      </c>
      <c r="E25" s="13" t="n">
        <v>81006</v>
      </c>
      <c r="F25" s="11" t="n">
        <v>2</v>
      </c>
      <c r="G25" s="14" t="s">
        <v>37</v>
      </c>
      <c r="H25" s="13" t="s">
        <v>58</v>
      </c>
      <c r="I25" s="13" t="s">
        <v>59</v>
      </c>
      <c r="J25" s="13" t="s">
        <v>61</v>
      </c>
      <c r="K25" s="5" t="n">
        <v>0</v>
      </c>
      <c r="L25" s="13" t="n">
        <v>0.63</v>
      </c>
      <c r="M25" s="13" t="n">
        <v>1</v>
      </c>
      <c r="N25" s="5" t="n">
        <v>0</v>
      </c>
      <c r="O25" s="5" t="n">
        <v>175176768</v>
      </c>
      <c r="P25" s="5" t="n">
        <v>282665594.5</v>
      </c>
      <c r="Q25" s="13" t="n">
        <v>187.6</v>
      </c>
      <c r="R25" s="11" t="n">
        <v>7</v>
      </c>
      <c r="S25" s="11" t="n">
        <v>2</v>
      </c>
      <c r="T25" s="15" t="n">
        <v>0.8</v>
      </c>
      <c r="U25" s="15" t="n">
        <v>0</v>
      </c>
      <c r="V25" s="15" t="n">
        <v>0.92</v>
      </c>
      <c r="W25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34" min="5" style="0" width="11"/>
  </cols>
  <sheetData>
    <row r="1" customFormat="false" ht="20.1" hidden="false" customHeight="false" outlineLevel="0" collapsed="false">
      <c r="A1" s="9" t="s">
        <v>62</v>
      </c>
    </row>
    <row r="2" customFormat="false" ht="15" hidden="false" customHeight="false" outlineLevel="0" collapsed="false">
      <c r="A2" s="2" t="s">
        <v>63</v>
      </c>
    </row>
    <row r="4" customFormat="false" ht="44" hidden="false" customHeight="false" outlineLevel="0" collapsed="false">
      <c r="A4" s="3" t="s">
        <v>31</v>
      </c>
      <c r="B4" s="3" t="s">
        <v>2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 t="s">
        <v>78</v>
      </c>
      <c r="R4" s="3" t="s">
        <v>79</v>
      </c>
      <c r="S4" s="3" t="s">
        <v>80</v>
      </c>
      <c r="T4" s="3" t="s">
        <v>81</v>
      </c>
      <c r="U4" s="3" t="s">
        <v>82</v>
      </c>
      <c r="V4" s="3" t="s">
        <v>83</v>
      </c>
      <c r="W4" s="3" t="s">
        <v>84</v>
      </c>
      <c r="X4" s="3" t="s">
        <v>85</v>
      </c>
      <c r="Y4" s="3" t="s">
        <v>86</v>
      </c>
      <c r="Z4" s="3" t="s">
        <v>87</v>
      </c>
      <c r="AA4" s="3" t="s">
        <v>88</v>
      </c>
      <c r="AB4" s="3" t="s">
        <v>89</v>
      </c>
      <c r="AC4" s="3" t="s">
        <v>90</v>
      </c>
      <c r="AD4" s="3" t="s">
        <v>91</v>
      </c>
      <c r="AE4" s="3" t="s">
        <v>92</v>
      </c>
      <c r="AF4" s="3" t="s">
        <v>93</v>
      </c>
      <c r="AG4" s="3" t="s">
        <v>94</v>
      </c>
      <c r="AH4" s="3" t="s">
        <v>95</v>
      </c>
    </row>
    <row r="5" customFormat="false" ht="15" hidden="false" customHeight="false" outlineLevel="0" collapsed="false">
      <c r="A5" s="11" t="n">
        <v>1</v>
      </c>
      <c r="B5" s="11" t="n">
        <v>1</v>
      </c>
      <c r="C5" s="16" t="s">
        <v>96</v>
      </c>
      <c r="D5" s="16" t="s">
        <v>13</v>
      </c>
      <c r="E5" s="17" t="n">
        <v>521482574.5</v>
      </c>
      <c r="F5" s="17" t="n">
        <v>247766155.3</v>
      </c>
      <c r="G5" s="5" t="n">
        <f aca="false">E5-F5</f>
        <v>273716419.2</v>
      </c>
      <c r="H5" s="17" t="n">
        <v>115897500</v>
      </c>
      <c r="I5" s="17" t="n">
        <v>48420000</v>
      </c>
      <c r="J5" s="5" t="n">
        <f aca="false">G5-H5-I5</f>
        <v>109398919.2</v>
      </c>
      <c r="K5" s="17" t="n">
        <v>5808131.9</v>
      </c>
      <c r="L5" s="5" t="n">
        <f aca="false">J5-K5</f>
        <v>103590787.3</v>
      </c>
      <c r="M5" s="17" t="n">
        <v>0</v>
      </c>
      <c r="N5" s="5" t="n">
        <f aca="false">L5-M5</f>
        <v>103590787.3</v>
      </c>
      <c r="O5" s="17" t="n">
        <v>31077236.2</v>
      </c>
      <c r="P5" s="5" t="n">
        <f aca="false">N5-O5</f>
        <v>72513551.1</v>
      </c>
      <c r="Q5" s="17" t="n">
        <v>248008894.2</v>
      </c>
      <c r="R5" s="17" t="n">
        <v>65537319.6</v>
      </c>
      <c r="S5" s="17" t="n">
        <v>34436686.8</v>
      </c>
      <c r="T5" s="17" t="n">
        <v>202080000</v>
      </c>
      <c r="U5" s="5" t="n">
        <f aca="false">Q5+R5+S5+T5</f>
        <v>550062900.6</v>
      </c>
      <c r="V5" s="17" t="n">
        <v>27549349.5</v>
      </c>
      <c r="W5" s="17" t="n">
        <v>40000000</v>
      </c>
      <c r="X5" s="17" t="n">
        <v>150000000</v>
      </c>
      <c r="Y5" s="5" t="n">
        <f aca="false">V5+W5+X5</f>
        <v>217549349.5</v>
      </c>
      <c r="Z5" s="17" t="n">
        <v>150000000</v>
      </c>
      <c r="AA5" s="17" t="n">
        <v>182513551.2</v>
      </c>
      <c r="AB5" s="5" t="n">
        <f aca="false">Z5+AA5</f>
        <v>332513551.2</v>
      </c>
      <c r="AC5" s="5" t="n">
        <f aca="false">U5-(Y5+AB5)</f>
        <v>-0.100000023841858</v>
      </c>
      <c r="AD5" s="17" t="n">
        <v>138508894.2</v>
      </c>
      <c r="AE5" s="17" t="n">
        <v>-10500000</v>
      </c>
      <c r="AF5" s="17" t="n">
        <v>0</v>
      </c>
      <c r="AG5" s="5" t="n">
        <f aca="false">AD5+AE5+AF5</f>
        <v>128008894.2</v>
      </c>
      <c r="AH5" s="18"/>
    </row>
    <row r="6" customFormat="false" ht="15" hidden="false" customHeight="false" outlineLevel="0" collapsed="false">
      <c r="A6" s="11" t="n">
        <v>2</v>
      </c>
      <c r="B6" s="11" t="n">
        <v>1</v>
      </c>
      <c r="C6" s="16" t="s">
        <v>96</v>
      </c>
      <c r="D6" s="16" t="s">
        <v>13</v>
      </c>
      <c r="E6" s="17" t="n">
        <v>654462056</v>
      </c>
      <c r="F6" s="17" t="n">
        <v>314932995.2</v>
      </c>
      <c r="G6" s="5" t="n">
        <f aca="false">E6-F6</f>
        <v>339529060.8</v>
      </c>
      <c r="H6" s="17" t="n">
        <v>108349618.6</v>
      </c>
      <c r="I6" s="17" t="n">
        <v>51808391.9</v>
      </c>
      <c r="J6" s="5" t="n">
        <f aca="false">G6-H6-I6</f>
        <v>179371050.3</v>
      </c>
      <c r="K6" s="17" t="n">
        <v>6213342.9</v>
      </c>
      <c r="L6" s="5" t="n">
        <f aca="false">J6-K6</f>
        <v>173157707.4</v>
      </c>
      <c r="M6" s="17" t="n">
        <v>96913214.5</v>
      </c>
      <c r="N6" s="5" t="n">
        <f aca="false">L6-M6</f>
        <v>76244492.9</v>
      </c>
      <c r="O6" s="17" t="n">
        <v>51947312.2</v>
      </c>
      <c r="P6" s="5" t="n">
        <f aca="false">N6-O6</f>
        <v>24297180.7</v>
      </c>
      <c r="Q6" s="17" t="n">
        <v>376836657.8</v>
      </c>
      <c r="R6" s="17" t="n">
        <v>62135003.8</v>
      </c>
      <c r="S6" s="17" t="n">
        <v>34903383.8</v>
      </c>
      <c r="T6" s="17" t="n">
        <v>100858393.6</v>
      </c>
      <c r="U6" s="5" t="n">
        <f aca="false">Q6+R6+S6+T6</f>
        <v>574733439</v>
      </c>
      <c r="V6" s="17" t="n">
        <v>27922707</v>
      </c>
      <c r="W6" s="17" t="n">
        <v>40000000</v>
      </c>
      <c r="X6" s="17" t="n">
        <v>150000000</v>
      </c>
      <c r="Y6" s="5" t="n">
        <f aca="false">V6+W6+X6</f>
        <v>217922707</v>
      </c>
      <c r="Z6" s="17" t="n">
        <v>150000000</v>
      </c>
      <c r="AA6" s="17" t="n">
        <v>206810731.9</v>
      </c>
      <c r="AB6" s="5" t="n">
        <f aca="false">Z6+AA6</f>
        <v>356810731.9</v>
      </c>
      <c r="AC6" s="5" t="n">
        <f aca="false">U6-(Y6+AB6)</f>
        <v>0.100000023841858</v>
      </c>
      <c r="AD6" s="17" t="n">
        <v>176327763.6</v>
      </c>
      <c r="AE6" s="17" t="n">
        <v>-47500000</v>
      </c>
      <c r="AF6" s="17" t="n">
        <v>0</v>
      </c>
      <c r="AG6" s="5" t="n">
        <f aca="false">AD6+AE6+AF6</f>
        <v>128827763.6</v>
      </c>
      <c r="AH6" s="18"/>
    </row>
    <row r="7" customFormat="false" ht="15" hidden="false" customHeight="false" outlineLevel="0" collapsed="false">
      <c r="A7" s="11" t="n">
        <v>3</v>
      </c>
      <c r="B7" s="11" t="n">
        <v>1</v>
      </c>
      <c r="C7" s="16" t="s">
        <v>96</v>
      </c>
      <c r="D7" s="16" t="s">
        <v>13</v>
      </c>
      <c r="E7" s="17" t="n">
        <v>530166916.6</v>
      </c>
      <c r="F7" s="17" t="n">
        <v>293683169.2</v>
      </c>
      <c r="G7" s="5" t="n">
        <f aca="false">E7-F7</f>
        <v>236483747.4</v>
      </c>
      <c r="H7" s="17" t="n">
        <v>113764486.3</v>
      </c>
      <c r="I7" s="17" t="n">
        <v>23600017.4</v>
      </c>
      <c r="J7" s="5" t="n">
        <f aca="false">G7-H7-I7</f>
        <v>99119243.7000001</v>
      </c>
      <c r="K7" s="17" t="n">
        <v>5846511.7</v>
      </c>
      <c r="L7" s="5" t="n">
        <f aca="false">J7-K7</f>
        <v>93272732</v>
      </c>
      <c r="M7" s="17" t="n">
        <v>19355057.3</v>
      </c>
      <c r="N7" s="5" t="n">
        <f aca="false">L7-M7</f>
        <v>73917674.7000001</v>
      </c>
      <c r="O7" s="17" t="n">
        <v>27981819.6</v>
      </c>
      <c r="P7" s="5" t="n">
        <f aca="false">N7-O7</f>
        <v>45935855.1</v>
      </c>
      <c r="Q7" s="17" t="n">
        <v>445943594.8</v>
      </c>
      <c r="R7" s="17" t="n">
        <v>70991033.9</v>
      </c>
      <c r="S7" s="17" t="n">
        <v>44543197.4</v>
      </c>
      <c r="T7" s="17" t="n">
        <v>48903318.9</v>
      </c>
      <c r="U7" s="5" t="n">
        <f aca="false">Q7+R7+S7+T7</f>
        <v>610381145</v>
      </c>
      <c r="V7" s="17" t="n">
        <v>35634557.9</v>
      </c>
      <c r="W7" s="17" t="n">
        <v>22000000</v>
      </c>
      <c r="X7" s="17" t="n">
        <v>150000000</v>
      </c>
      <c r="Y7" s="5" t="n">
        <f aca="false">V7+W7+X7</f>
        <v>207634557.9</v>
      </c>
      <c r="Z7" s="17" t="n">
        <v>150000000</v>
      </c>
      <c r="AA7" s="17" t="n">
        <v>252746587</v>
      </c>
      <c r="AB7" s="5" t="n">
        <f aca="false">Z7+AA7</f>
        <v>402746587</v>
      </c>
      <c r="AC7" s="5" t="n">
        <f aca="false">U7-(Y7+AB7)</f>
        <v>0.100000023841858</v>
      </c>
      <c r="AD7" s="17" t="n">
        <v>78106937</v>
      </c>
      <c r="AE7" s="17" t="n">
        <v>9000000</v>
      </c>
      <c r="AF7" s="17" t="n">
        <v>-18000000</v>
      </c>
      <c r="AG7" s="5" t="n">
        <f aca="false">AD7+AE7+AF7</f>
        <v>69106937</v>
      </c>
      <c r="AH7" s="18"/>
    </row>
    <row r="8" customFormat="false" ht="15" hidden="false" customHeight="false" outlineLevel="0" collapsed="false">
      <c r="A8" s="11" t="n">
        <v>4</v>
      </c>
      <c r="B8" s="11" t="n">
        <v>1</v>
      </c>
      <c r="C8" s="16" t="s">
        <v>96</v>
      </c>
      <c r="D8" s="16" t="s">
        <v>13</v>
      </c>
      <c r="E8" s="17" t="n">
        <v>715675906.2</v>
      </c>
      <c r="F8" s="17" t="n">
        <v>399955011.5</v>
      </c>
      <c r="G8" s="5" t="n">
        <f aca="false">E8-F8</f>
        <v>315720894.7</v>
      </c>
      <c r="H8" s="17" t="n">
        <v>90506339</v>
      </c>
      <c r="I8" s="17" t="n">
        <v>20247117.3</v>
      </c>
      <c r="J8" s="5" t="n">
        <f aca="false">G8-H8-I8</f>
        <v>204967438.4</v>
      </c>
      <c r="K8" s="17" t="n">
        <v>6636151.2</v>
      </c>
      <c r="L8" s="5" t="n">
        <f aca="false">J8-K8</f>
        <v>198331287.2</v>
      </c>
      <c r="M8" s="17" t="n">
        <v>0</v>
      </c>
      <c r="N8" s="5" t="n">
        <f aca="false">L8-M8</f>
        <v>198331287.2</v>
      </c>
      <c r="O8" s="17" t="n">
        <v>59499386.2</v>
      </c>
      <c r="P8" s="5" t="n">
        <f aca="false">N8-O8</f>
        <v>138831901</v>
      </c>
      <c r="Q8" s="17" t="n">
        <v>582532099.1</v>
      </c>
      <c r="R8" s="17" t="n">
        <v>84918577.8</v>
      </c>
      <c r="S8" s="17" t="n">
        <v>52358048.4</v>
      </c>
      <c r="T8" s="17" t="n">
        <v>35656201.6</v>
      </c>
      <c r="U8" s="5" t="n">
        <f aca="false">Q8+R8+S8+T8</f>
        <v>755464926.9</v>
      </c>
      <c r="V8" s="17" t="n">
        <v>41886438.8</v>
      </c>
      <c r="W8" s="17" t="n">
        <v>22000000</v>
      </c>
      <c r="X8" s="17" t="n">
        <v>150000000</v>
      </c>
      <c r="Y8" s="5" t="n">
        <f aca="false">V8+W8+X8</f>
        <v>213886438.8</v>
      </c>
      <c r="Z8" s="17" t="n">
        <v>150000000</v>
      </c>
      <c r="AA8" s="17" t="n">
        <v>391578488.1</v>
      </c>
      <c r="AB8" s="5" t="n">
        <f aca="false">Z8+AA8</f>
        <v>541578488.1</v>
      </c>
      <c r="AC8" s="5" t="n">
        <f aca="false">U8-(Y8+AB8)</f>
        <v>0</v>
      </c>
      <c r="AD8" s="17" t="n">
        <v>143588504.3</v>
      </c>
      <c r="AE8" s="17" t="n">
        <v>-7000000</v>
      </c>
      <c r="AF8" s="17" t="n">
        <v>0</v>
      </c>
      <c r="AG8" s="5" t="n">
        <f aca="false">AD8+AE8+AF8</f>
        <v>136588504.3</v>
      </c>
      <c r="AH8" s="18"/>
    </row>
    <row r="9" customFormat="false" ht="15" hidden="false" customHeight="false" outlineLevel="0" collapsed="false">
      <c r="A9" s="11" t="n">
        <v>5</v>
      </c>
      <c r="B9" s="11" t="n">
        <v>1</v>
      </c>
      <c r="C9" s="16" t="s">
        <v>96</v>
      </c>
      <c r="D9" s="16" t="s">
        <v>13</v>
      </c>
      <c r="E9" s="17" t="n">
        <v>901660764.4</v>
      </c>
      <c r="F9" s="17" t="n">
        <v>496561596.4</v>
      </c>
      <c r="G9" s="5" t="n">
        <f aca="false">E9-F9</f>
        <v>405099168</v>
      </c>
      <c r="H9" s="17" t="n">
        <v>97173512</v>
      </c>
      <c r="I9" s="17" t="n">
        <v>22767117.3</v>
      </c>
      <c r="J9" s="5" t="n">
        <f aca="false">G9-H9-I9</f>
        <v>285158538.7</v>
      </c>
      <c r="K9" s="17" t="n">
        <v>7041810</v>
      </c>
      <c r="L9" s="5" t="n">
        <f aca="false">J9-K9</f>
        <v>278116728.7</v>
      </c>
      <c r="M9" s="17" t="n">
        <v>0</v>
      </c>
      <c r="N9" s="5" t="n">
        <f aca="false">L9-M9</f>
        <v>278116728.7</v>
      </c>
      <c r="O9" s="17" t="n">
        <v>83435018.6</v>
      </c>
      <c r="P9" s="5" t="n">
        <f aca="false">N9-O9</f>
        <v>194681710.1</v>
      </c>
      <c r="Q9" s="17" t="n">
        <v>779065469</v>
      </c>
      <c r="R9" s="17" t="n">
        <v>129071305.5</v>
      </c>
      <c r="S9" s="17" t="n">
        <v>78671696.9</v>
      </c>
      <c r="T9" s="17" t="n">
        <v>23389084.3</v>
      </c>
      <c r="U9" s="5" t="n">
        <f aca="false">Q9+R9+S9+T9</f>
        <v>1010197555.7</v>
      </c>
      <c r="V9" s="17" t="n">
        <v>62937357.5</v>
      </c>
      <c r="W9" s="17" t="n">
        <v>22000000</v>
      </c>
      <c r="X9" s="17" t="n">
        <v>150000000</v>
      </c>
      <c r="Y9" s="5" t="n">
        <f aca="false">V9+W9+X9</f>
        <v>234937357.5</v>
      </c>
      <c r="Z9" s="17" t="n">
        <v>150000000</v>
      </c>
      <c r="AA9" s="17" t="n">
        <v>586260198.2</v>
      </c>
      <c r="AB9" s="5" t="n">
        <f aca="false">Z9+AA9</f>
        <v>736260198.2</v>
      </c>
      <c r="AC9" s="5" t="n">
        <f aca="false">U9-(Y9+AB9)</f>
        <v>38999999.9999999</v>
      </c>
      <c r="AD9" s="17" t="n">
        <v>168033369.9</v>
      </c>
      <c r="AE9" s="17" t="n">
        <v>-10500000</v>
      </c>
      <c r="AF9" s="17" t="n">
        <v>39000000</v>
      </c>
      <c r="AG9" s="5" t="n">
        <f aca="false">AD9+AE9+AF9</f>
        <v>196533369.9</v>
      </c>
      <c r="AH9" s="18"/>
    </row>
    <row r="10" customFormat="false" ht="15" hidden="false" customHeight="false" outlineLevel="0" collapsed="false">
      <c r="A10" s="11" t="n">
        <v>6</v>
      </c>
      <c r="B10" s="11" t="n">
        <v>1</v>
      </c>
      <c r="C10" s="16" t="s">
        <v>96</v>
      </c>
      <c r="D10" s="16" t="s">
        <v>13</v>
      </c>
      <c r="E10" s="17" t="n">
        <v>824848151.4</v>
      </c>
      <c r="F10" s="17" t="n">
        <v>449890840.9</v>
      </c>
      <c r="G10" s="5" t="n">
        <f aca="false">E10-F10</f>
        <v>374957310.5</v>
      </c>
      <c r="H10" s="17" t="n">
        <v>90511084.9</v>
      </c>
      <c r="I10" s="17" t="n">
        <v>24027117.3</v>
      </c>
      <c r="J10" s="5" t="n">
        <f aca="false">G10-H10-I10</f>
        <v>260419108.3</v>
      </c>
      <c r="K10" s="17" t="n">
        <v>7337577.3</v>
      </c>
      <c r="L10" s="5" t="n">
        <f aca="false">J10-K10</f>
        <v>253081531</v>
      </c>
      <c r="M10" s="17" t="n">
        <v>0</v>
      </c>
      <c r="N10" s="5" t="n">
        <f aca="false">L10-M10</f>
        <v>253081531</v>
      </c>
      <c r="O10" s="17" t="n">
        <v>75924459.3</v>
      </c>
      <c r="P10" s="5" t="n">
        <f aca="false">N10-O10</f>
        <v>177157071.7</v>
      </c>
      <c r="Q10" s="17" t="n">
        <v>1028318340</v>
      </c>
      <c r="R10" s="17" t="n">
        <v>93242563.2</v>
      </c>
      <c r="S10" s="17" t="n">
        <v>56191137.2</v>
      </c>
      <c r="T10" s="17" t="n">
        <v>9861967</v>
      </c>
      <c r="U10" s="5" t="n">
        <f aca="false">Q10+R10+S10+T10</f>
        <v>1187614007.4</v>
      </c>
      <c r="V10" s="17" t="n">
        <v>44952909.8</v>
      </c>
      <c r="W10" s="17" t="n">
        <v>22000000</v>
      </c>
      <c r="X10" s="17" t="n">
        <v>150000000</v>
      </c>
      <c r="Y10" s="5" t="n">
        <f aca="false">V10+W10+X10</f>
        <v>216952909.8</v>
      </c>
      <c r="Z10" s="17" t="n">
        <v>172000000</v>
      </c>
      <c r="AA10" s="17" t="n">
        <v>763417269.8</v>
      </c>
      <c r="AB10" s="5" t="n">
        <f aca="false">Z10+AA10</f>
        <v>935417269.8</v>
      </c>
      <c r="AC10" s="5" t="n">
        <f aca="false">U10-(Y10+AB10)</f>
        <v>35243827.8000002</v>
      </c>
      <c r="AD10" s="17" t="n">
        <v>241509043.2</v>
      </c>
      <c r="AE10" s="17" t="n">
        <v>-10500000</v>
      </c>
      <c r="AF10" s="17" t="n">
        <v>18243827.7</v>
      </c>
      <c r="AG10" s="5" t="n">
        <f aca="false">AD10+AE10+AF10</f>
        <v>249252870.9</v>
      </c>
      <c r="AH10" s="18"/>
    </row>
    <row r="11" customFormat="false" ht="15" hidden="false" customHeight="false" outlineLevel="0" collapsed="false">
      <c r="A11" s="11" t="n">
        <v>7</v>
      </c>
      <c r="B11" s="11" t="n">
        <v>1</v>
      </c>
      <c r="C11" s="16" t="s">
        <v>96</v>
      </c>
      <c r="D11" s="16" t="s">
        <v>13</v>
      </c>
      <c r="E11" s="17" t="n">
        <v>875202988.8</v>
      </c>
      <c r="F11" s="17" t="n">
        <v>498380960.5</v>
      </c>
      <c r="G11" s="5" t="n">
        <f aca="false">E11-F11</f>
        <v>376822028.3</v>
      </c>
      <c r="H11" s="17" t="n">
        <v>107087605.6</v>
      </c>
      <c r="I11" s="17" t="n">
        <v>20361967</v>
      </c>
      <c r="J11" s="5" t="n">
        <f aca="false">G11-H11-I11</f>
        <v>249372455.7</v>
      </c>
      <c r="K11" s="17" t="n">
        <v>6486873.1</v>
      </c>
      <c r="L11" s="5" t="n">
        <f aca="false">J11-K11</f>
        <v>242885582.6</v>
      </c>
      <c r="M11" s="17" t="n">
        <v>0</v>
      </c>
      <c r="N11" s="5" t="n">
        <f aca="false">L11-M11</f>
        <v>242885582.6</v>
      </c>
      <c r="O11" s="17" t="n">
        <v>72865674.8</v>
      </c>
      <c r="P11" s="5" t="n">
        <f aca="false">N11-O11</f>
        <v>170019907.8</v>
      </c>
      <c r="Q11" s="17" t="n">
        <v>1227134373</v>
      </c>
      <c r="R11" s="17" t="n">
        <v>90652898.7</v>
      </c>
      <c r="S11" s="17" t="n">
        <v>67496631.7</v>
      </c>
      <c r="T11" s="17" t="n">
        <v>0</v>
      </c>
      <c r="U11" s="5" t="n">
        <f aca="false">Q11+R11+S11+T11</f>
        <v>1385283903.4</v>
      </c>
      <c r="V11" s="17" t="n">
        <v>53997305.4</v>
      </c>
      <c r="W11" s="17" t="n">
        <v>22000000</v>
      </c>
      <c r="X11" s="17" t="n">
        <v>150000000</v>
      </c>
      <c r="Y11" s="5" t="n">
        <f aca="false">V11+W11+X11</f>
        <v>225997305.4</v>
      </c>
      <c r="Z11" s="17" t="n">
        <v>194000000</v>
      </c>
      <c r="AA11" s="17" t="n">
        <v>933437177.7</v>
      </c>
      <c r="AB11" s="5" t="n">
        <f aca="false">Z11+AA11</f>
        <v>1127437177.7</v>
      </c>
      <c r="AC11" s="5" t="n">
        <f aca="false">U11-(Y11+AB11)</f>
        <v>31849420.3</v>
      </c>
      <c r="AD11" s="17" t="n">
        <v>190710440.4</v>
      </c>
      <c r="AE11" s="17" t="n">
        <v>-10500000</v>
      </c>
      <c r="AF11" s="17" t="n">
        <v>18605592.6</v>
      </c>
      <c r="AG11" s="5" t="n">
        <f aca="false">AD11+AE11+AF11</f>
        <v>198816033</v>
      </c>
      <c r="AH11" s="18"/>
    </row>
    <row r="12" customFormat="false" ht="15" hidden="false" customHeight="false" outlineLevel="0" collapsed="false">
      <c r="A12" s="11" t="n">
        <v>8</v>
      </c>
      <c r="B12" s="11" t="n">
        <v>1</v>
      </c>
      <c r="C12" s="16" t="s">
        <v>96</v>
      </c>
      <c r="D12" s="16" t="s">
        <v>13</v>
      </c>
      <c r="E12" s="17" t="n">
        <v>802353291.6</v>
      </c>
      <c r="F12" s="17" t="n">
        <v>533944164.5</v>
      </c>
      <c r="G12" s="5" t="n">
        <f aca="false">E12-F12</f>
        <v>268409127.1</v>
      </c>
      <c r="H12" s="17" t="n">
        <v>94718900</v>
      </c>
      <c r="I12" s="17" t="n">
        <v>3500000</v>
      </c>
      <c r="J12" s="5" t="n">
        <f aca="false">G12-H12-I12</f>
        <v>170190227.1</v>
      </c>
      <c r="K12" s="17" t="n">
        <v>7029994.8</v>
      </c>
      <c r="L12" s="5" t="n">
        <f aca="false">J12-K12</f>
        <v>163160232.3</v>
      </c>
      <c r="M12" s="17" t="n">
        <v>0</v>
      </c>
      <c r="N12" s="5" t="n">
        <f aca="false">L12-M12</f>
        <v>163160232.3</v>
      </c>
      <c r="O12" s="17" t="n">
        <v>48948069.7</v>
      </c>
      <c r="P12" s="5" t="n">
        <f aca="false">N12-O12</f>
        <v>114212162.6</v>
      </c>
      <c r="Q12" s="17" t="n">
        <v>1415219123.8</v>
      </c>
      <c r="R12" s="17" t="n">
        <v>91727854.3</v>
      </c>
      <c r="S12" s="17" t="n">
        <v>67546488.5</v>
      </c>
      <c r="T12" s="17" t="n">
        <v>0</v>
      </c>
      <c r="U12" s="5" t="n">
        <f aca="false">Q12+R12+S12+T12</f>
        <v>1574493466.6</v>
      </c>
      <c r="V12" s="17" t="n">
        <v>54037190.8</v>
      </c>
      <c r="W12" s="17" t="n">
        <v>22000000</v>
      </c>
      <c r="X12" s="17" t="n">
        <v>150000000</v>
      </c>
      <c r="Y12" s="5" t="n">
        <f aca="false">V12+W12+X12</f>
        <v>226037190.8</v>
      </c>
      <c r="Z12" s="17" t="n">
        <v>200000000</v>
      </c>
      <c r="AA12" s="17" t="n">
        <v>1047649340.3</v>
      </c>
      <c r="AB12" s="5" t="n">
        <f aca="false">Z12+AA12</f>
        <v>1247649340.3</v>
      </c>
      <c r="AC12" s="5" t="n">
        <f aca="false">U12-(Y12+AB12)</f>
        <v>100806935.5</v>
      </c>
      <c r="AD12" s="17" t="n">
        <v>116627235.7</v>
      </c>
      <c r="AE12" s="17" t="n">
        <v>-3500000</v>
      </c>
      <c r="AF12" s="17" t="n">
        <v>74957515.1</v>
      </c>
      <c r="AG12" s="5" t="n">
        <f aca="false">AD12+AE12+AF12</f>
        <v>188084750.8</v>
      </c>
      <c r="AH12" s="18"/>
    </row>
    <row r="13" customFormat="false" ht="15" hidden="false" customHeight="false" outlineLevel="0" collapsed="false">
      <c r="A13" s="11" t="n">
        <v>9</v>
      </c>
      <c r="B13" s="11" t="n">
        <v>1</v>
      </c>
      <c r="C13" s="16" t="s">
        <v>96</v>
      </c>
      <c r="D13" s="16" t="s">
        <v>13</v>
      </c>
      <c r="E13" s="17" t="n">
        <v>884494371.9</v>
      </c>
      <c r="F13" s="17" t="n">
        <v>587750130.4</v>
      </c>
      <c r="G13" s="5" t="n">
        <f aca="false">E13-F13</f>
        <v>296744241.5</v>
      </c>
      <c r="H13" s="17" t="n">
        <v>86824623.3</v>
      </c>
      <c r="I13" s="17" t="n">
        <v>10500000</v>
      </c>
      <c r="J13" s="5" t="n">
        <f aca="false">G13-H13-I13</f>
        <v>199419618.2</v>
      </c>
      <c r="K13" s="17" t="n">
        <v>9309836.2</v>
      </c>
      <c r="L13" s="5" t="n">
        <f aca="false">J13-K13</f>
        <v>190109782</v>
      </c>
      <c r="M13" s="17" t="n">
        <v>0</v>
      </c>
      <c r="N13" s="5" t="n">
        <f aca="false">L13-M13</f>
        <v>190109782</v>
      </c>
      <c r="O13" s="17" t="n">
        <v>57032934.6</v>
      </c>
      <c r="P13" s="5" t="n">
        <f aca="false">N13-O13</f>
        <v>133076847.4</v>
      </c>
      <c r="Q13" s="17" t="n">
        <v>1638938661.5</v>
      </c>
      <c r="R13" s="17" t="n">
        <v>90895366.2</v>
      </c>
      <c r="S13" s="17" t="n">
        <v>68948893.8</v>
      </c>
      <c r="T13" s="17" t="n">
        <v>0</v>
      </c>
      <c r="U13" s="5" t="n">
        <f aca="false">Q13+R13+S13+T13</f>
        <v>1798782921.5</v>
      </c>
      <c r="V13" s="17" t="n">
        <v>55159115</v>
      </c>
      <c r="W13" s="17" t="n">
        <v>22000000</v>
      </c>
      <c r="X13" s="17" t="n">
        <v>150000000</v>
      </c>
      <c r="Y13" s="5" t="n">
        <f aca="false">V13+W13+X13</f>
        <v>227159115</v>
      </c>
      <c r="Z13" s="17" t="n">
        <v>216251787.5</v>
      </c>
      <c r="AA13" s="17" t="n">
        <v>1180726187.8</v>
      </c>
      <c r="AB13" s="5" t="n">
        <f aca="false">Z13+AA13</f>
        <v>1396977975.3</v>
      </c>
      <c r="AC13" s="5" t="n">
        <f aca="false">U13-(Y13+AB13)</f>
        <v>174645831.2</v>
      </c>
      <c r="AD13" s="17" t="n">
        <v>144128854.5</v>
      </c>
      <c r="AE13" s="17" t="n">
        <v>-10500000</v>
      </c>
      <c r="AF13" s="17" t="n">
        <v>90090683.1</v>
      </c>
      <c r="AG13" s="5" t="n">
        <f aca="false">AD13+AE13+AF13</f>
        <v>223719537.6</v>
      </c>
      <c r="AH13" s="18"/>
    </row>
    <row r="14" customFormat="false" ht="15" hidden="false" customHeight="false" outlineLevel="0" collapsed="false">
      <c r="A14" s="11" t="n">
        <v>10</v>
      </c>
      <c r="B14" s="11" t="n">
        <v>1</v>
      </c>
      <c r="C14" s="16" t="s">
        <v>96</v>
      </c>
      <c r="D14" s="16" t="s">
        <v>13</v>
      </c>
      <c r="E14" s="17" t="n">
        <v>686969420.7</v>
      </c>
      <c r="F14" s="17" t="n">
        <v>513184950.5</v>
      </c>
      <c r="G14" s="5" t="n">
        <f aca="false">E14-F14</f>
        <v>173784470.2</v>
      </c>
      <c r="H14" s="17" t="n">
        <v>103416400</v>
      </c>
      <c r="I14" s="17" t="n">
        <v>0</v>
      </c>
      <c r="J14" s="5" t="n">
        <f aca="false">G14-H14-I14</f>
        <v>70368070.2000001</v>
      </c>
      <c r="K14" s="17" t="n">
        <v>10020733.5</v>
      </c>
      <c r="L14" s="5" t="n">
        <f aca="false">J14-K14</f>
        <v>60347336.7000001</v>
      </c>
      <c r="M14" s="17" t="n">
        <v>0</v>
      </c>
      <c r="N14" s="5" t="n">
        <f aca="false">L14-M14</f>
        <v>60347336.7000001</v>
      </c>
      <c r="O14" s="17" t="n">
        <v>18104201</v>
      </c>
      <c r="P14" s="5" t="n">
        <f aca="false">N14-O14</f>
        <v>42243135.7000001</v>
      </c>
      <c r="Q14" s="17" t="n">
        <v>1727274719.4</v>
      </c>
      <c r="R14" s="17" t="n">
        <v>62400432</v>
      </c>
      <c r="S14" s="17" t="n">
        <v>55403250.7</v>
      </c>
      <c r="T14" s="17" t="n">
        <v>0</v>
      </c>
      <c r="U14" s="5" t="n">
        <f aca="false">Q14+R14+S14+T14</f>
        <v>1845078402.1</v>
      </c>
      <c r="V14" s="17" t="n">
        <v>44322600.6</v>
      </c>
      <c r="W14" s="17" t="n">
        <v>22000000</v>
      </c>
      <c r="X14" s="17" t="n">
        <v>180000000</v>
      </c>
      <c r="Y14" s="5" t="n">
        <f aca="false">V14+W14+X14</f>
        <v>246322600.6</v>
      </c>
      <c r="Z14" s="17" t="n">
        <v>224735322.1</v>
      </c>
      <c r="AA14" s="17" t="n">
        <v>1222969323.5</v>
      </c>
      <c r="AB14" s="5" t="n">
        <f aca="false">Z14+AA14</f>
        <v>1447704645.6</v>
      </c>
      <c r="AC14" s="5" t="n">
        <f aca="false">U14-(Y14+AB14)</f>
        <v>151051155.9</v>
      </c>
      <c r="AD14" s="17" t="n">
        <v>73447198.5</v>
      </c>
      <c r="AE14" s="17" t="n">
        <v>0</v>
      </c>
      <c r="AF14" s="17" t="n">
        <v>14888859.4</v>
      </c>
      <c r="AG14" s="5" t="n">
        <f aca="false">AD14+AE14+AF14</f>
        <v>88336057.9</v>
      </c>
      <c r="AH14" s="18"/>
    </row>
    <row r="15" customFormat="false" ht="15" hidden="false" customHeight="false" outlineLevel="0" collapsed="false">
      <c r="A15" s="11" t="n">
        <v>11</v>
      </c>
      <c r="B15" s="11" t="n">
        <v>1</v>
      </c>
      <c r="C15" s="16" t="s">
        <v>96</v>
      </c>
      <c r="D15" s="16" t="s">
        <v>13</v>
      </c>
      <c r="E15" s="17" t="n">
        <v>523069813.2</v>
      </c>
      <c r="F15" s="17" t="n">
        <v>430460545.4</v>
      </c>
      <c r="G15" s="5" t="n">
        <f aca="false">E15-F15</f>
        <v>92609267.8</v>
      </c>
      <c r="H15" s="17" t="n">
        <v>113718900</v>
      </c>
      <c r="I15" s="17" t="n">
        <v>3500000</v>
      </c>
      <c r="J15" s="5" t="n">
        <f aca="false">G15-H15-I15</f>
        <v>-24609632.2</v>
      </c>
      <c r="K15" s="17" t="n">
        <v>9993612.4</v>
      </c>
      <c r="L15" s="5" t="n">
        <f aca="false">J15-K15</f>
        <v>-34603244.6</v>
      </c>
      <c r="M15" s="17" t="n">
        <v>0</v>
      </c>
      <c r="N15" s="5" t="n">
        <f aca="false">L15-M15</f>
        <v>-34603244.6</v>
      </c>
      <c r="O15" s="17" t="n">
        <v>0</v>
      </c>
      <c r="P15" s="5" t="n">
        <f aca="false">N15-O15</f>
        <v>-34603244.6</v>
      </c>
      <c r="Q15" s="17" t="n">
        <v>1693019339.4</v>
      </c>
      <c r="R15" s="17" t="n">
        <v>50352550.4</v>
      </c>
      <c r="S15" s="17" t="n">
        <v>45624562</v>
      </c>
      <c r="T15" s="17" t="n">
        <v>0</v>
      </c>
      <c r="U15" s="5" t="n">
        <f aca="false">Q15+R15+S15+T15</f>
        <v>1788996451.8</v>
      </c>
      <c r="V15" s="17" t="n">
        <v>36499649.6</v>
      </c>
      <c r="W15" s="17" t="n">
        <v>22000000</v>
      </c>
      <c r="X15" s="17" t="n">
        <v>180000000</v>
      </c>
      <c r="Y15" s="5" t="n">
        <f aca="false">V15+W15+X15</f>
        <v>238499649.6</v>
      </c>
      <c r="Z15" s="17" t="n">
        <v>229163780.3</v>
      </c>
      <c r="AA15" s="17" t="n">
        <v>1188366078.9</v>
      </c>
      <c r="AB15" s="5" t="n">
        <f aca="false">Z15+AA15</f>
        <v>1417529859.2</v>
      </c>
      <c r="AC15" s="5" t="n">
        <f aca="false">U15-(Y15+AB15)</f>
        <v>132966943</v>
      </c>
      <c r="AD15" s="17" t="n">
        <v>-17099625.2</v>
      </c>
      <c r="AE15" s="17" t="n">
        <v>-3500000</v>
      </c>
      <c r="AF15" s="17" t="n">
        <v>-13655754.8</v>
      </c>
      <c r="AG15" s="5" t="n">
        <f aca="false">AD15+AE15+AF15</f>
        <v>-34255380</v>
      </c>
      <c r="AH15" s="18"/>
    </row>
    <row r="16" customFormat="false" ht="15" hidden="false" customHeight="false" outlineLevel="0" collapsed="false">
      <c r="A16" s="11" t="n">
        <v>12</v>
      </c>
      <c r="B16" s="11" t="n">
        <v>2</v>
      </c>
      <c r="C16" s="16" t="s">
        <v>96</v>
      </c>
      <c r="D16" s="16" t="s">
        <v>13</v>
      </c>
      <c r="E16" s="17" t="n">
        <v>521724635.8</v>
      </c>
      <c r="F16" s="17" t="n">
        <v>420333892.7</v>
      </c>
      <c r="G16" s="5" t="n">
        <f aca="false">E16-F16</f>
        <v>101390743.1</v>
      </c>
      <c r="H16" s="17" t="n">
        <v>104656818</v>
      </c>
      <c r="I16" s="17" t="n">
        <v>7000000</v>
      </c>
      <c r="J16" s="5" t="n">
        <f aca="false">G16-H16-I16</f>
        <v>-10266074.9</v>
      </c>
      <c r="K16" s="17" t="n">
        <v>10472349.2</v>
      </c>
      <c r="L16" s="5" t="n">
        <f aca="false">J16-K16</f>
        <v>-20738424.1</v>
      </c>
      <c r="M16" s="17" t="n">
        <v>0</v>
      </c>
      <c r="N16" s="5" t="n">
        <f aca="false">L16-M16</f>
        <v>-20738424.1</v>
      </c>
      <c r="O16" s="17" t="n">
        <v>703249.5</v>
      </c>
      <c r="P16" s="5" t="n">
        <f aca="false">N16-O16</f>
        <v>-21441673.6</v>
      </c>
      <c r="Q16" s="17" t="n">
        <v>1696069410</v>
      </c>
      <c r="R16" s="17" t="n">
        <v>56536328.1</v>
      </c>
      <c r="S16" s="17" t="n">
        <v>50544251.2</v>
      </c>
      <c r="T16" s="17" t="n">
        <v>0</v>
      </c>
      <c r="U16" s="5" t="n">
        <f aca="false">Q16+R16+S16+T16</f>
        <v>1803149989.3</v>
      </c>
      <c r="V16" s="17" t="n">
        <v>40435401</v>
      </c>
      <c r="W16" s="17" t="n">
        <v>22000000</v>
      </c>
      <c r="X16" s="17" t="n">
        <v>180000000</v>
      </c>
      <c r="Y16" s="5" t="n">
        <f aca="false">V16+W16+X16</f>
        <v>242435401</v>
      </c>
      <c r="Z16" s="17" t="n">
        <v>275475463.1</v>
      </c>
      <c r="AA16" s="17" t="n">
        <v>1166924405.3</v>
      </c>
      <c r="AB16" s="5" t="n">
        <f aca="false">Z16+AA16</f>
        <v>1442399868.4</v>
      </c>
      <c r="AC16" s="5" t="n">
        <f aca="false">U16-(Y16+AB16)</f>
        <v>118314719.9</v>
      </c>
      <c r="AD16" s="17" t="n">
        <v>-21609389.2</v>
      </c>
      <c r="AE16" s="17" t="n">
        <v>-7000000</v>
      </c>
      <c r="AF16" s="17" t="n">
        <v>31659459.8</v>
      </c>
      <c r="AG16" s="5" t="n">
        <f aca="false">AD16+AE16+AF16</f>
        <v>3050070.6</v>
      </c>
      <c r="AH16" s="18"/>
    </row>
    <row r="17" customFormat="false" ht="15" hidden="false" customHeight="false" outlineLevel="0" collapsed="false">
      <c r="A17" s="11" t="n">
        <v>13</v>
      </c>
      <c r="B17" s="11" t="n">
        <v>2</v>
      </c>
      <c r="C17" s="16" t="s">
        <v>96</v>
      </c>
      <c r="D17" s="16" t="s">
        <v>13</v>
      </c>
      <c r="E17" s="17" t="n">
        <v>849138431.8</v>
      </c>
      <c r="F17" s="17" t="n">
        <v>655898153.2</v>
      </c>
      <c r="G17" s="5" t="n">
        <f aca="false">E17-F17</f>
        <v>193240278.6</v>
      </c>
      <c r="H17" s="17" t="n">
        <v>111994723.3</v>
      </c>
      <c r="I17" s="17" t="n">
        <v>15000000</v>
      </c>
      <c r="J17" s="5" t="n">
        <f aca="false">G17-H17-I17</f>
        <v>66245555.2999999</v>
      </c>
      <c r="K17" s="17" t="n">
        <v>9613825.1</v>
      </c>
      <c r="L17" s="5" t="n">
        <f aca="false">J17-K17</f>
        <v>56631730.1999999</v>
      </c>
      <c r="M17" s="17" t="n">
        <v>0</v>
      </c>
      <c r="N17" s="5" t="n">
        <f aca="false">L17-M17</f>
        <v>56631730.1999999</v>
      </c>
      <c r="O17" s="17" t="n">
        <v>16989519.1</v>
      </c>
      <c r="P17" s="5" t="n">
        <f aca="false">N17-O17</f>
        <v>39642211.0999999</v>
      </c>
      <c r="Q17" s="17" t="n">
        <v>1735533224.1</v>
      </c>
      <c r="R17" s="17" t="n">
        <v>81655381.1</v>
      </c>
      <c r="S17" s="17" t="n">
        <v>70080987.3</v>
      </c>
      <c r="T17" s="17" t="n">
        <v>0</v>
      </c>
      <c r="U17" s="5" t="n">
        <f aca="false">Q17+R17+S17+T17</f>
        <v>1887269592.5</v>
      </c>
      <c r="V17" s="17" t="n">
        <v>56064789.8</v>
      </c>
      <c r="W17" s="17" t="n">
        <v>22000000</v>
      </c>
      <c r="X17" s="17" t="n">
        <v>180000000</v>
      </c>
      <c r="Y17" s="5" t="n">
        <f aca="false">V17+W17+X17</f>
        <v>258064789.8</v>
      </c>
      <c r="Z17" s="17" t="n">
        <v>276682175.9</v>
      </c>
      <c r="AA17" s="17" t="n">
        <v>1206566616.5</v>
      </c>
      <c r="AB17" s="5" t="n">
        <f aca="false">Z17+AA17</f>
        <v>1483248792.4</v>
      </c>
      <c r="AC17" s="5" t="n">
        <f aca="false">U17-(Y17+AB17)</f>
        <v>145956010.3</v>
      </c>
      <c r="AD17" s="17" t="n">
        <v>25615811</v>
      </c>
      <c r="AE17" s="17" t="n">
        <v>-15000000</v>
      </c>
      <c r="AF17" s="17" t="n">
        <v>28848003.2</v>
      </c>
      <c r="AG17" s="5" t="n">
        <f aca="false">AD17+AE17+AF17</f>
        <v>39463814.2</v>
      </c>
      <c r="AH17" s="18"/>
    </row>
    <row r="18" customFormat="false" ht="15" hidden="false" customHeight="false" outlineLevel="0" collapsed="false">
      <c r="A18" s="11" t="n">
        <v>14</v>
      </c>
      <c r="B18" s="11" t="n">
        <v>2</v>
      </c>
      <c r="C18" s="16" t="s">
        <v>96</v>
      </c>
      <c r="D18" s="16" t="s">
        <v>13</v>
      </c>
      <c r="E18" s="17" t="n">
        <v>915956521.9</v>
      </c>
      <c r="F18" s="17" t="n">
        <v>682155698.7</v>
      </c>
      <c r="G18" s="5" t="n">
        <f aca="false">E18-F18</f>
        <v>233800823.2</v>
      </c>
      <c r="H18" s="17" t="n">
        <v>96985723.3</v>
      </c>
      <c r="I18" s="17" t="n">
        <v>15000000</v>
      </c>
      <c r="J18" s="5" t="n">
        <f aca="false">G18-H18-I18</f>
        <v>121815099.9</v>
      </c>
      <c r="K18" s="17" t="n">
        <v>8732988.8</v>
      </c>
      <c r="L18" s="5" t="n">
        <f aca="false">J18-K18</f>
        <v>113082111.1</v>
      </c>
      <c r="M18" s="17" t="n">
        <v>0</v>
      </c>
      <c r="N18" s="5" t="n">
        <f aca="false">L18-M18</f>
        <v>113082111.1</v>
      </c>
      <c r="O18" s="17" t="n">
        <v>33924633.3</v>
      </c>
      <c r="P18" s="5" t="n">
        <f aca="false">N18-O18</f>
        <v>79157477.7999999</v>
      </c>
      <c r="Q18" s="17" t="n">
        <v>1801563225.4</v>
      </c>
      <c r="R18" s="17" t="n">
        <v>103765043.3</v>
      </c>
      <c r="S18" s="17" t="n">
        <v>84780437.2</v>
      </c>
      <c r="T18" s="17" t="n">
        <v>0</v>
      </c>
      <c r="U18" s="5" t="n">
        <f aca="false">Q18+R18+S18+T18</f>
        <v>1990108705.9</v>
      </c>
      <c r="V18" s="17" t="n">
        <v>67824349.8</v>
      </c>
      <c r="W18" s="17" t="n">
        <v>22000000</v>
      </c>
      <c r="X18" s="17" t="n">
        <v>180000000</v>
      </c>
      <c r="Y18" s="5" t="n">
        <f aca="false">V18+W18+X18</f>
        <v>269824349.8</v>
      </c>
      <c r="Z18" s="17" t="n">
        <v>318431837.6</v>
      </c>
      <c r="AA18" s="17" t="n">
        <v>1285724094.3</v>
      </c>
      <c r="AB18" s="5" t="n">
        <f aca="false">Z18+AA18</f>
        <v>1604155931.9</v>
      </c>
      <c r="AC18" s="5" t="n">
        <f aca="false">U18-(Y18+AB18)</f>
        <v>116128424.2</v>
      </c>
      <c r="AD18" s="17" t="n">
        <v>69107925.7</v>
      </c>
      <c r="AE18" s="17" t="n">
        <v>-15000000</v>
      </c>
      <c r="AF18" s="17" t="n">
        <v>11922075.6</v>
      </c>
      <c r="AG18" s="5" t="n">
        <f aca="false">AD18+AE18+AF18</f>
        <v>66030001.3</v>
      </c>
      <c r="AH18" s="18"/>
    </row>
    <row r="19" customFormat="false" ht="15" hidden="false" customHeight="false" outlineLevel="0" collapsed="false">
      <c r="A19" s="11" t="n">
        <v>15</v>
      </c>
      <c r="B19" s="11" t="n">
        <v>2</v>
      </c>
      <c r="C19" s="16" t="s">
        <v>96</v>
      </c>
      <c r="D19" s="16" t="s">
        <v>13</v>
      </c>
      <c r="E19" s="17" t="n">
        <v>850128023</v>
      </c>
      <c r="F19" s="17" t="n">
        <v>819800952.4</v>
      </c>
      <c r="G19" s="5" t="n">
        <f aca="false">E19-F19</f>
        <v>30327070.6</v>
      </c>
      <c r="H19" s="17" t="n">
        <v>108891400</v>
      </c>
      <c r="I19" s="17" t="n">
        <v>9311779.3</v>
      </c>
      <c r="J19" s="5" t="n">
        <f aca="false">G19-H19-I19</f>
        <v>-87876108.7</v>
      </c>
      <c r="K19" s="17" t="n">
        <v>7962965.1</v>
      </c>
      <c r="L19" s="5" t="n">
        <f aca="false">J19-K19</f>
        <v>-95839073.8</v>
      </c>
      <c r="M19" s="17" t="n">
        <v>0</v>
      </c>
      <c r="N19" s="5" t="n">
        <f aca="false">L19-M19</f>
        <v>-95839073.8</v>
      </c>
      <c r="O19" s="17" t="n">
        <v>6489841.3</v>
      </c>
      <c r="P19" s="5" t="n">
        <f aca="false">N19-O19</f>
        <v>-102328915.1</v>
      </c>
      <c r="Q19" s="17" t="n">
        <v>1684568258.3</v>
      </c>
      <c r="R19" s="17" t="n">
        <v>129474669.7</v>
      </c>
      <c r="S19" s="17" t="n">
        <v>145709970.1</v>
      </c>
      <c r="T19" s="17" t="n">
        <v>5688220.7</v>
      </c>
      <c r="U19" s="5" t="n">
        <f aca="false">Q19+R19+S19+T19</f>
        <v>1965441118.8</v>
      </c>
      <c r="V19" s="17" t="n">
        <v>116567976.1</v>
      </c>
      <c r="W19" s="17" t="n">
        <v>22000000</v>
      </c>
      <c r="X19" s="17" t="n">
        <v>180000000</v>
      </c>
      <c r="Y19" s="5" t="n">
        <f aca="false">V19+W19+X19</f>
        <v>318567976.1</v>
      </c>
      <c r="Z19" s="17" t="n">
        <v>328741284.4</v>
      </c>
      <c r="AA19" s="17" t="n">
        <v>1183395179.2</v>
      </c>
      <c r="AB19" s="5" t="n">
        <f aca="false">Z19+AA19</f>
        <v>1512136463.6</v>
      </c>
      <c r="AC19" s="5" t="n">
        <f aca="false">U19-(Y19+AB19)</f>
        <v>134736679.1</v>
      </c>
      <c r="AD19" s="17" t="n">
        <v>-130912668.8</v>
      </c>
      <c r="AE19" s="17" t="n">
        <v>-15000000</v>
      </c>
      <c r="AF19" s="17" t="n">
        <v>28917701.7</v>
      </c>
      <c r="AG19" s="5" t="n">
        <f aca="false">AD19+AE19+AF19</f>
        <v>-116994967.1</v>
      </c>
      <c r="AH19" s="18"/>
    </row>
    <row r="20" customFormat="false" ht="15" hidden="false" customHeight="false" outlineLevel="0" collapsed="false">
      <c r="A20" s="11" t="n">
        <v>16</v>
      </c>
      <c r="B20" s="11" t="n">
        <v>2</v>
      </c>
      <c r="C20" s="16" t="s">
        <v>96</v>
      </c>
      <c r="D20" s="16" t="s">
        <v>13</v>
      </c>
      <c r="E20" s="17" t="n">
        <v>1204328549.8</v>
      </c>
      <c r="F20" s="17" t="n">
        <v>1219809323.2</v>
      </c>
      <c r="G20" s="5" t="n">
        <f aca="false">E20-F20</f>
        <v>-15480773.4000001</v>
      </c>
      <c r="H20" s="17" t="n">
        <v>103464846.6</v>
      </c>
      <c r="I20" s="17" t="n">
        <v>17688220.7</v>
      </c>
      <c r="J20" s="5" t="n">
        <f aca="false">G20-H20-I20</f>
        <v>-136633840.7</v>
      </c>
      <c r="K20" s="17" t="n">
        <v>8346965.8</v>
      </c>
      <c r="L20" s="5" t="n">
        <f aca="false">J20-K20</f>
        <v>-144980806.5</v>
      </c>
      <c r="M20" s="17" t="n">
        <v>0</v>
      </c>
      <c r="N20" s="5" t="n">
        <f aca="false">L20-M20</f>
        <v>-144980806.5</v>
      </c>
      <c r="O20" s="17" t="n">
        <v>0</v>
      </c>
      <c r="P20" s="5" t="n">
        <f aca="false">N20-O20</f>
        <v>-144980806.5</v>
      </c>
      <c r="Q20" s="17" t="n">
        <v>1550391114.1</v>
      </c>
      <c r="R20" s="17" t="n">
        <v>162149823</v>
      </c>
      <c r="S20" s="17" t="n">
        <v>182482379.8</v>
      </c>
      <c r="T20" s="17" t="n">
        <v>0</v>
      </c>
      <c r="U20" s="5" t="n">
        <f aca="false">Q20+R20+S20+T20</f>
        <v>1895023316.9</v>
      </c>
      <c r="V20" s="17" t="n">
        <v>145985903.8</v>
      </c>
      <c r="W20" s="17" t="n">
        <v>22000000</v>
      </c>
      <c r="X20" s="17" t="n">
        <v>180000000</v>
      </c>
      <c r="Y20" s="5" t="n">
        <f aca="false">V20+W20+X20</f>
        <v>347985903.8</v>
      </c>
      <c r="Z20" s="17" t="n">
        <v>334122880.1</v>
      </c>
      <c r="AA20" s="17" t="n">
        <v>1038414372.6</v>
      </c>
      <c r="AB20" s="5" t="n">
        <f aca="false">Z20+AA20</f>
        <v>1372537252.7</v>
      </c>
      <c r="AC20" s="5" t="n">
        <f aca="false">U20-(Y20+AB20)</f>
        <v>174500160.4</v>
      </c>
      <c r="AD20" s="17" t="n">
        <v>-167322221.1</v>
      </c>
      <c r="AE20" s="17" t="n">
        <v>-12000000</v>
      </c>
      <c r="AF20" s="17" t="n">
        <v>45145076.9</v>
      </c>
      <c r="AG20" s="5" t="n">
        <f aca="false">AD20+AE20+AF20</f>
        <v>-134177144.2</v>
      </c>
      <c r="AH20" s="18"/>
    </row>
    <row r="21" customFormat="false" ht="15" hidden="false" customHeight="false" outlineLevel="0" collapsed="false">
      <c r="A21" s="11" t="n">
        <v>17</v>
      </c>
      <c r="B21" s="11" t="n">
        <v>2</v>
      </c>
      <c r="C21" s="16" t="s">
        <v>96</v>
      </c>
      <c r="D21" s="16" t="s">
        <v>13</v>
      </c>
      <c r="E21" s="17" t="n">
        <v>1635675864.2</v>
      </c>
      <c r="F21" s="17" t="n">
        <v>1916358776.7</v>
      </c>
      <c r="G21" s="5" t="n">
        <f aca="false">E21-F21</f>
        <v>-280682912.5</v>
      </c>
      <c r="H21" s="17" t="n">
        <v>109960523.3</v>
      </c>
      <c r="I21" s="17" t="n">
        <v>15000000</v>
      </c>
      <c r="J21" s="5" t="n">
        <f aca="false">G21-H21-I21</f>
        <v>-405643435.8</v>
      </c>
      <c r="K21" s="17" t="n">
        <v>10790359</v>
      </c>
      <c r="L21" s="5" t="n">
        <f aca="false">J21-K21</f>
        <v>-416433794.8</v>
      </c>
      <c r="M21" s="17" t="n">
        <v>0</v>
      </c>
      <c r="N21" s="5" t="n">
        <f aca="false">L21-M21</f>
        <v>-416433794.8</v>
      </c>
      <c r="O21" s="17" t="n">
        <v>0</v>
      </c>
      <c r="P21" s="5" t="n">
        <f aca="false">N21-O21</f>
        <v>-416433794.8</v>
      </c>
      <c r="Q21" s="17" t="n">
        <v>2376682622.6</v>
      </c>
      <c r="R21" s="17" t="n">
        <v>197759727.4</v>
      </c>
      <c r="S21" s="17" t="n">
        <v>257439344</v>
      </c>
      <c r="T21" s="17" t="n">
        <v>0</v>
      </c>
      <c r="U21" s="5" t="n">
        <f aca="false">Q21+R21+S21+T21</f>
        <v>2831881694</v>
      </c>
      <c r="V21" s="17" t="n">
        <v>205951475.2</v>
      </c>
      <c r="W21" s="17" t="n">
        <v>22000000</v>
      </c>
      <c r="X21" s="17" t="n">
        <v>180000000</v>
      </c>
      <c r="Y21" s="5" t="n">
        <f aca="false">V21+W21+X21</f>
        <v>407951475.2</v>
      </c>
      <c r="Z21" s="17" t="n">
        <v>1606546489.4</v>
      </c>
      <c r="AA21" s="17" t="n">
        <v>621980577.8</v>
      </c>
      <c r="AB21" s="5" t="n">
        <f aca="false">Z21+AA21</f>
        <v>2228527067.2</v>
      </c>
      <c r="AC21" s="5" t="n">
        <f aca="false">U21-(Y21+AB21)</f>
        <v>195403151.6</v>
      </c>
      <c r="AD21" s="17" t="n">
        <v>-452035092.1</v>
      </c>
      <c r="AE21" s="17" t="n">
        <v>-15000000</v>
      </c>
      <c r="AF21" s="17" t="n">
        <v>1293326600.6</v>
      </c>
      <c r="AG21" s="5" t="n">
        <f aca="false">AD21+AE21+AF21</f>
        <v>826291508.5</v>
      </c>
      <c r="AH21" s="18"/>
    </row>
    <row r="22" customFormat="false" ht="15" hidden="false" customHeight="false" outlineLevel="0" collapsed="false">
      <c r="A22" s="11" t="n">
        <v>18</v>
      </c>
      <c r="B22" s="11" t="n">
        <v>2</v>
      </c>
      <c r="C22" s="16" t="s">
        <v>96</v>
      </c>
      <c r="D22" s="16" t="s">
        <v>13</v>
      </c>
      <c r="E22" s="17" t="n">
        <v>1867291575.6</v>
      </c>
      <c r="F22" s="17" t="n">
        <v>2184011668</v>
      </c>
      <c r="G22" s="5" t="n">
        <f aca="false">E22-F22</f>
        <v>-316720092.4</v>
      </c>
      <c r="H22" s="17" t="n">
        <v>119666400</v>
      </c>
      <c r="I22" s="17" t="n">
        <v>0</v>
      </c>
      <c r="J22" s="5" t="n">
        <f aca="false">G22-H22-I22</f>
        <v>-436386492.4</v>
      </c>
      <c r="K22" s="17" t="n">
        <v>11485959.7</v>
      </c>
      <c r="L22" s="5" t="n">
        <f aca="false">J22-K22</f>
        <v>-447872452.1</v>
      </c>
      <c r="M22" s="17" t="n">
        <v>0</v>
      </c>
      <c r="N22" s="5" t="n">
        <f aca="false">L22-M22</f>
        <v>-447872452.1</v>
      </c>
      <c r="O22" s="17" t="n">
        <v>0</v>
      </c>
      <c r="P22" s="5" t="n">
        <f aca="false">N22-O22</f>
        <v>-447872452.1</v>
      </c>
      <c r="Q22" s="17" t="n">
        <v>1924469818.1</v>
      </c>
      <c r="R22" s="17" t="n">
        <v>216363198.7</v>
      </c>
      <c r="S22" s="17" t="n">
        <v>279802837</v>
      </c>
      <c r="T22" s="17" t="n">
        <v>0</v>
      </c>
      <c r="U22" s="5" t="n">
        <f aca="false">Q22+R22+S22+T22</f>
        <v>2420635853.8</v>
      </c>
      <c r="V22" s="17" t="n">
        <v>223842269.6</v>
      </c>
      <c r="W22" s="17" t="n">
        <v>22000000</v>
      </c>
      <c r="X22" s="17" t="n">
        <v>180000000</v>
      </c>
      <c r="Y22" s="5" t="n">
        <f aca="false">V22+W22+X22</f>
        <v>425842269.6</v>
      </c>
      <c r="Z22" s="17" t="n">
        <v>1606546489.4</v>
      </c>
      <c r="AA22" s="17" t="n">
        <v>174108125.7</v>
      </c>
      <c r="AB22" s="5" t="n">
        <f aca="false">Z22+AA22</f>
        <v>1780654615.1</v>
      </c>
      <c r="AC22" s="5" t="n">
        <f aca="false">U22-(Y22+AB22)</f>
        <v>214138969.1</v>
      </c>
      <c r="AD22" s="17" t="n">
        <v>-470948621.9</v>
      </c>
      <c r="AE22" s="17" t="n">
        <v>0</v>
      </c>
      <c r="AF22" s="17" t="n">
        <v>18735817.4</v>
      </c>
      <c r="AG22" s="5" t="n">
        <f aca="false">AD22+AE22+AF22</f>
        <v>-452212804.5</v>
      </c>
      <c r="AH22" s="18"/>
    </row>
    <row r="23" customFormat="false" ht="15" hidden="false" customHeight="false" outlineLevel="0" collapsed="false">
      <c r="A23" s="11" t="n">
        <v>19</v>
      </c>
      <c r="B23" s="11" t="n">
        <v>2</v>
      </c>
      <c r="C23" s="16" t="s">
        <v>96</v>
      </c>
      <c r="D23" s="16" t="s">
        <v>13</v>
      </c>
      <c r="E23" s="17" t="n">
        <v>1955944526</v>
      </c>
      <c r="F23" s="17" t="n">
        <v>2623589249.2</v>
      </c>
      <c r="G23" s="5" t="n">
        <f aca="false">E23-F23</f>
        <v>-667644723.2</v>
      </c>
      <c r="H23" s="17" t="n">
        <v>108021400</v>
      </c>
      <c r="I23" s="17" t="n">
        <v>7000000</v>
      </c>
      <c r="J23" s="5" t="n">
        <f aca="false">G23-H23-I23</f>
        <v>-782666123.2</v>
      </c>
      <c r="K23" s="17" t="n">
        <v>10548919.2</v>
      </c>
      <c r="L23" s="5" t="n">
        <f aca="false">J23-K23</f>
        <v>-793215042.4</v>
      </c>
      <c r="M23" s="17" t="n">
        <v>0</v>
      </c>
      <c r="N23" s="5" t="n">
        <f aca="false">L23-M23</f>
        <v>-793215042.4</v>
      </c>
      <c r="O23" s="17" t="n">
        <v>0</v>
      </c>
      <c r="P23" s="5" t="n">
        <f aca="false">N23-O23</f>
        <v>-793215042.4</v>
      </c>
      <c r="Q23" s="17" t="n">
        <v>899952877.5</v>
      </c>
      <c r="R23" s="17" t="n">
        <v>202294949.1</v>
      </c>
      <c r="S23" s="17" t="n">
        <v>343489180.2</v>
      </c>
      <c r="T23" s="17" t="n">
        <v>0</v>
      </c>
      <c r="U23" s="5" t="n">
        <f aca="false">Q23+R23+S23+T23</f>
        <v>1445737006.8</v>
      </c>
      <c r="V23" s="17" t="n">
        <v>274791344.2</v>
      </c>
      <c r="W23" s="17" t="n">
        <v>22000000</v>
      </c>
      <c r="X23" s="17" t="n">
        <v>180000000</v>
      </c>
      <c r="Y23" s="5" t="n">
        <f aca="false">V23+W23+X23</f>
        <v>476791344.2</v>
      </c>
      <c r="Z23" s="17" t="n">
        <v>1606546489.4</v>
      </c>
      <c r="AA23" s="17" t="n">
        <v>-619106916.7</v>
      </c>
      <c r="AB23" s="5" t="n">
        <f aca="false">Z23+AA23</f>
        <v>987439572.7</v>
      </c>
      <c r="AC23" s="5" t="n">
        <f aca="false">U23-(Y23+AB23)</f>
        <v>-18493910.1000001</v>
      </c>
      <c r="AD23" s="17" t="n">
        <v>-784884061.5</v>
      </c>
      <c r="AE23" s="17" t="n">
        <v>-7000000</v>
      </c>
      <c r="AF23" s="17" t="n">
        <v>-232632879</v>
      </c>
      <c r="AG23" s="5" t="n">
        <f aca="false">AD23+AE23+AF23</f>
        <v>-1024516940.5</v>
      </c>
      <c r="AH23" s="18"/>
    </row>
    <row r="24" customFormat="false" ht="15" hidden="false" customHeight="false" outlineLevel="0" collapsed="false">
      <c r="A24" s="11" t="n">
        <v>20</v>
      </c>
      <c r="B24" s="11" t="n">
        <v>2</v>
      </c>
      <c r="C24" s="16" t="s">
        <v>96</v>
      </c>
      <c r="D24" s="16" t="s">
        <v>13</v>
      </c>
      <c r="E24" s="17" t="n">
        <v>1364420410.6</v>
      </c>
      <c r="F24" s="17" t="n">
        <v>2058615147.5</v>
      </c>
      <c r="G24" s="5" t="n">
        <f aca="false">E24-F24</f>
        <v>-694194736.9</v>
      </c>
      <c r="H24" s="17" t="n">
        <v>75814800</v>
      </c>
      <c r="I24" s="17" t="n">
        <v>21000000</v>
      </c>
      <c r="J24" s="5" t="n">
        <f aca="false">G24-H24-I24</f>
        <v>-791009536.9</v>
      </c>
      <c r="K24" s="17" t="n">
        <v>8121955.8</v>
      </c>
      <c r="L24" s="5" t="n">
        <f aca="false">J24-K24</f>
        <v>-799131492.7</v>
      </c>
      <c r="M24" s="17" t="n">
        <v>0</v>
      </c>
      <c r="N24" s="5" t="n">
        <f aca="false">L24-M24</f>
        <v>-799131492.7</v>
      </c>
      <c r="O24" s="17" t="n">
        <v>0</v>
      </c>
      <c r="P24" s="5" t="n">
        <f aca="false">N24-O24</f>
        <v>-799131492.7</v>
      </c>
      <c r="Q24" s="17" t="n">
        <v>20994774.6</v>
      </c>
      <c r="R24" s="17" t="n">
        <v>200150095.5</v>
      </c>
      <c r="S24" s="17" t="n">
        <v>333349676.8</v>
      </c>
      <c r="T24" s="17" t="n">
        <v>0</v>
      </c>
      <c r="U24" s="5" t="n">
        <f aca="false">Q24+R24+S24+T24</f>
        <v>554494546.9</v>
      </c>
      <c r="V24" s="17" t="n">
        <v>266679741.5</v>
      </c>
      <c r="W24" s="17" t="n">
        <v>22000000</v>
      </c>
      <c r="X24" s="17" t="n">
        <v>180000000</v>
      </c>
      <c r="Y24" s="5" t="n">
        <f aca="false">V24+W24+X24</f>
        <v>468679741.5</v>
      </c>
      <c r="Z24" s="17" t="n">
        <v>1606546489.4</v>
      </c>
      <c r="AA24" s="17" t="n">
        <v>-1418238409.4</v>
      </c>
      <c r="AB24" s="5" t="n">
        <f aca="false">Z24+AA24</f>
        <v>188308080</v>
      </c>
      <c r="AC24" s="5" t="n">
        <f aca="false">U24-(Y24+AB24)</f>
        <v>-102493274.6</v>
      </c>
      <c r="AD24" s="17" t="n">
        <v>-773958738.4</v>
      </c>
      <c r="AE24" s="17" t="n">
        <v>-21000000</v>
      </c>
      <c r="AF24" s="17" t="n">
        <v>-83999364.5</v>
      </c>
      <c r="AG24" s="5" t="n">
        <f aca="false">AD24+AE24+AF24</f>
        <v>-878958102.9</v>
      </c>
      <c r="AH24" s="1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34" min="5" style="0" width="11"/>
  </cols>
  <sheetData>
    <row r="1" customFormat="false" ht="20.1" hidden="false" customHeight="false" outlineLevel="0" collapsed="false">
      <c r="A1" s="9" t="s">
        <v>98</v>
      </c>
    </row>
    <row r="2" customFormat="false" ht="15" hidden="false" customHeight="false" outlineLevel="0" collapsed="false">
      <c r="A2" s="2" t="s">
        <v>99</v>
      </c>
    </row>
    <row r="4" customFormat="false" ht="44" hidden="false" customHeight="false" outlineLevel="0" collapsed="false">
      <c r="A4" s="3" t="s">
        <v>31</v>
      </c>
      <c r="B4" s="3" t="s">
        <v>2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 t="s">
        <v>78</v>
      </c>
      <c r="R4" s="3" t="s">
        <v>79</v>
      </c>
      <c r="S4" s="3" t="s">
        <v>80</v>
      </c>
      <c r="T4" s="3" t="s">
        <v>81</v>
      </c>
      <c r="U4" s="3" t="s">
        <v>82</v>
      </c>
      <c r="V4" s="3" t="s">
        <v>83</v>
      </c>
      <c r="W4" s="3" t="s">
        <v>84</v>
      </c>
      <c r="X4" s="3" t="s">
        <v>85</v>
      </c>
      <c r="Y4" s="3" t="s">
        <v>86</v>
      </c>
      <c r="Z4" s="3" t="s">
        <v>87</v>
      </c>
      <c r="AA4" s="3" t="s">
        <v>88</v>
      </c>
      <c r="AB4" s="3" t="s">
        <v>89</v>
      </c>
      <c r="AC4" s="3" t="s">
        <v>90</v>
      </c>
      <c r="AD4" s="3" t="s">
        <v>91</v>
      </c>
      <c r="AE4" s="3" t="s">
        <v>92</v>
      </c>
      <c r="AF4" s="3" t="s">
        <v>93</v>
      </c>
      <c r="AG4" s="3" t="s">
        <v>94</v>
      </c>
      <c r="AH4" s="3" t="s">
        <v>95</v>
      </c>
    </row>
    <row r="5" customFormat="false" ht="15" hidden="false" customHeight="false" outlineLevel="0" collapsed="false">
      <c r="A5" s="11" t="n">
        <v>1</v>
      </c>
      <c r="B5" s="11" t="n">
        <v>1</v>
      </c>
      <c r="C5" s="16" t="s">
        <v>96</v>
      </c>
      <c r="D5" s="16" t="s">
        <v>13</v>
      </c>
      <c r="E5" s="17" t="n">
        <v>562567571.8</v>
      </c>
      <c r="F5" s="17" t="n">
        <v>267571222.1</v>
      </c>
      <c r="G5" s="5" t="n">
        <f aca="false">E5-F5</f>
        <v>294996349.7</v>
      </c>
      <c r="H5" s="17" t="n">
        <v>124147500</v>
      </c>
      <c r="I5" s="17" t="n">
        <v>48420000</v>
      </c>
      <c r="J5" s="5" t="n">
        <f aca="false">G5-H5-I5</f>
        <v>122428849.7</v>
      </c>
      <c r="K5" s="17" t="n">
        <v>5542180.2</v>
      </c>
      <c r="L5" s="5" t="n">
        <f aca="false">J5-K5</f>
        <v>116886669.5</v>
      </c>
      <c r="M5" s="17" t="n">
        <v>0</v>
      </c>
      <c r="N5" s="5" t="n">
        <f aca="false">L5-M5</f>
        <v>116886669.5</v>
      </c>
      <c r="O5" s="17" t="n">
        <v>35066000.8</v>
      </c>
      <c r="P5" s="5" t="n">
        <f aca="false">N5-O5</f>
        <v>81820668.6999999</v>
      </c>
      <c r="Q5" s="17" t="n">
        <v>243945764.1</v>
      </c>
      <c r="R5" s="17" t="n">
        <v>77636102.3</v>
      </c>
      <c r="S5" s="17" t="n">
        <v>40794011.1</v>
      </c>
      <c r="T5" s="17" t="n">
        <v>202080000</v>
      </c>
      <c r="U5" s="5" t="n">
        <f aca="false">Q5+R5+S5+T5</f>
        <v>564455877.5</v>
      </c>
      <c r="V5" s="17" t="n">
        <v>32635208.9</v>
      </c>
      <c r="W5" s="17" t="n">
        <v>40000000</v>
      </c>
      <c r="X5" s="17" t="n">
        <v>150000000</v>
      </c>
      <c r="Y5" s="5" t="n">
        <f aca="false">V5+W5+X5</f>
        <v>222635208.9</v>
      </c>
      <c r="Z5" s="17" t="n">
        <v>150000000</v>
      </c>
      <c r="AA5" s="17" t="n">
        <v>191820668.6</v>
      </c>
      <c r="AB5" s="5" t="n">
        <f aca="false">Z5+AA5</f>
        <v>341820668.6</v>
      </c>
      <c r="AC5" s="5" t="n">
        <f aca="false">U5-(Y5+AB5)</f>
        <v>0</v>
      </c>
      <c r="AD5" s="17" t="n">
        <v>134445764.1</v>
      </c>
      <c r="AE5" s="17" t="n">
        <v>-10500000</v>
      </c>
      <c r="AF5" s="17" t="n">
        <v>0</v>
      </c>
      <c r="AG5" s="5" t="n">
        <f aca="false">AD5+AE5+AF5</f>
        <v>123945764.1</v>
      </c>
      <c r="AH5" s="18"/>
    </row>
    <row r="6" customFormat="false" ht="15" hidden="false" customHeight="false" outlineLevel="0" collapsed="false">
      <c r="A6" s="11" t="n">
        <v>2</v>
      </c>
      <c r="B6" s="11" t="n">
        <v>1</v>
      </c>
      <c r="C6" s="16" t="s">
        <v>96</v>
      </c>
      <c r="D6" s="16" t="s">
        <v>13</v>
      </c>
      <c r="E6" s="17" t="n">
        <v>718354367.7</v>
      </c>
      <c r="F6" s="17" t="n">
        <v>336841569.3</v>
      </c>
      <c r="G6" s="5" t="n">
        <f aca="false">E6-F6</f>
        <v>381512798.4</v>
      </c>
      <c r="H6" s="17" t="n">
        <v>103246160.5</v>
      </c>
      <c r="I6" s="17" t="n">
        <v>50303846.1</v>
      </c>
      <c r="J6" s="5" t="n">
        <f aca="false">G6-H6-I6</f>
        <v>227962791.8</v>
      </c>
      <c r="K6" s="17" t="n">
        <v>4656932.3</v>
      </c>
      <c r="L6" s="5" t="n">
        <f aca="false">J6-K6</f>
        <v>223305859.5</v>
      </c>
      <c r="M6" s="17" t="n">
        <v>4640356</v>
      </c>
      <c r="N6" s="5" t="n">
        <f aca="false">L6-M6</f>
        <v>218665503.5</v>
      </c>
      <c r="O6" s="17" t="n">
        <v>66991757.9</v>
      </c>
      <c r="P6" s="5" t="n">
        <f aca="false">N6-O6</f>
        <v>151673745.6</v>
      </c>
      <c r="Q6" s="17" t="n">
        <v>460965162.5</v>
      </c>
      <c r="R6" s="17" t="n">
        <v>78703202</v>
      </c>
      <c r="S6" s="17" t="n">
        <v>40951259.6</v>
      </c>
      <c r="T6" s="17" t="n">
        <v>157635797.8</v>
      </c>
      <c r="U6" s="5" t="n">
        <f aca="false">Q6+R6+S6+T6</f>
        <v>738255421.9</v>
      </c>
      <c r="V6" s="17" t="n">
        <v>32761007.7</v>
      </c>
      <c r="W6" s="17" t="n">
        <v>40000000</v>
      </c>
      <c r="X6" s="17" t="n">
        <v>150000000</v>
      </c>
      <c r="Y6" s="5" t="n">
        <f aca="false">V6+W6+X6</f>
        <v>222761007.7</v>
      </c>
      <c r="Z6" s="17" t="n">
        <v>172000000</v>
      </c>
      <c r="AA6" s="17" t="n">
        <v>343494414.2</v>
      </c>
      <c r="AB6" s="5" t="n">
        <f aca="false">Z6+AA6</f>
        <v>515494414.2</v>
      </c>
      <c r="AC6" s="5" t="n">
        <f aca="false">U6-(Y6+AB6)</f>
        <v>0</v>
      </c>
      <c r="AD6" s="17" t="n">
        <v>205519398.4</v>
      </c>
      <c r="AE6" s="17" t="n">
        <v>-10500000</v>
      </c>
      <c r="AF6" s="17" t="n">
        <v>22000000</v>
      </c>
      <c r="AG6" s="5" t="n">
        <f aca="false">AD6+AE6+AF6</f>
        <v>217019398.4</v>
      </c>
      <c r="AH6" s="18"/>
    </row>
    <row r="7" customFormat="false" ht="15" hidden="false" customHeight="false" outlineLevel="0" collapsed="false">
      <c r="A7" s="11" t="n">
        <v>3</v>
      </c>
      <c r="B7" s="11" t="n">
        <v>1</v>
      </c>
      <c r="C7" s="16" t="s">
        <v>96</v>
      </c>
      <c r="D7" s="16" t="s">
        <v>13</v>
      </c>
      <c r="E7" s="17" t="n">
        <v>670536673.2</v>
      </c>
      <c r="F7" s="17" t="n">
        <v>314007417.7</v>
      </c>
      <c r="G7" s="5" t="n">
        <f aca="false">E7-F7</f>
        <v>356529255.5</v>
      </c>
      <c r="H7" s="17" t="n">
        <v>120001174.8</v>
      </c>
      <c r="I7" s="17" t="n">
        <v>50087692.3</v>
      </c>
      <c r="J7" s="5" t="n">
        <f aca="false">G7-H7-I7</f>
        <v>186440388.4</v>
      </c>
      <c r="K7" s="17" t="n">
        <v>6875742.2</v>
      </c>
      <c r="L7" s="5" t="n">
        <f aca="false">J7-K7</f>
        <v>179564646.2</v>
      </c>
      <c r="M7" s="17" t="n">
        <v>0</v>
      </c>
      <c r="N7" s="5" t="n">
        <f aca="false">L7-M7</f>
        <v>179564646.2</v>
      </c>
      <c r="O7" s="17" t="n">
        <v>53869393.9</v>
      </c>
      <c r="P7" s="5" t="n">
        <f aca="false">N7-O7</f>
        <v>125695252.3</v>
      </c>
      <c r="Q7" s="17" t="n">
        <v>673781636.4</v>
      </c>
      <c r="R7" s="17" t="n">
        <v>81390064.3</v>
      </c>
      <c r="S7" s="17" t="n">
        <v>42349301.7</v>
      </c>
      <c r="T7" s="17" t="n">
        <v>107548105.6</v>
      </c>
      <c r="U7" s="5" t="n">
        <f aca="false">Q7+R7+S7+T7</f>
        <v>905069108</v>
      </c>
      <c r="V7" s="17" t="n">
        <v>33879441.4</v>
      </c>
      <c r="W7" s="17" t="n">
        <v>40000000</v>
      </c>
      <c r="X7" s="17" t="n">
        <v>150000000</v>
      </c>
      <c r="Y7" s="5" t="n">
        <f aca="false">V7+W7+X7</f>
        <v>223879441.4</v>
      </c>
      <c r="Z7" s="17" t="n">
        <v>178000000</v>
      </c>
      <c r="AA7" s="17" t="n">
        <v>469189666.6</v>
      </c>
      <c r="AB7" s="5" t="n">
        <f aca="false">Z7+AA7</f>
        <v>647189666.6</v>
      </c>
      <c r="AC7" s="5" t="n">
        <f aca="false">U7-(Y7+AB7)</f>
        <v>34000000</v>
      </c>
      <c r="AD7" s="17" t="n">
        <v>172816473.9</v>
      </c>
      <c r="AE7" s="17" t="n">
        <v>0</v>
      </c>
      <c r="AF7" s="17" t="n">
        <v>40000000</v>
      </c>
      <c r="AG7" s="5" t="n">
        <f aca="false">AD7+AE7+AF7</f>
        <v>212816473.9</v>
      </c>
      <c r="AH7" s="18"/>
    </row>
    <row r="8" customFormat="false" ht="15" hidden="false" customHeight="false" outlineLevel="0" collapsed="false">
      <c r="A8" s="11" t="n">
        <v>4</v>
      </c>
      <c r="B8" s="11" t="n">
        <v>1</v>
      </c>
      <c r="C8" s="16" t="s">
        <v>96</v>
      </c>
      <c r="D8" s="16" t="s">
        <v>13</v>
      </c>
      <c r="E8" s="17" t="n">
        <v>778509361.7</v>
      </c>
      <c r="F8" s="17" t="n">
        <v>363659574.1</v>
      </c>
      <c r="G8" s="5" t="n">
        <f aca="false">E8-F8</f>
        <v>414849787.6</v>
      </c>
      <c r="H8" s="17" t="n">
        <v>110175913.3</v>
      </c>
      <c r="I8" s="17" t="n">
        <v>50567692.3</v>
      </c>
      <c r="J8" s="5" t="n">
        <f aca="false">G8-H8-I8</f>
        <v>254106182</v>
      </c>
      <c r="K8" s="17" t="n">
        <v>8648617.9</v>
      </c>
      <c r="L8" s="5" t="n">
        <f aca="false">J8-K8</f>
        <v>245457564.1</v>
      </c>
      <c r="M8" s="17" t="n">
        <v>0</v>
      </c>
      <c r="N8" s="5" t="n">
        <f aca="false">L8-M8</f>
        <v>245457564.1</v>
      </c>
      <c r="O8" s="17" t="n">
        <v>73637269.2</v>
      </c>
      <c r="P8" s="5" t="n">
        <f aca="false">N8-O8</f>
        <v>171820294.9</v>
      </c>
      <c r="Q8" s="17" t="n">
        <v>922830193.5</v>
      </c>
      <c r="R8" s="17" t="n">
        <v>98079730.5</v>
      </c>
      <c r="S8" s="17" t="n">
        <v>50785620.9</v>
      </c>
      <c r="T8" s="17" t="n">
        <v>68980413.3</v>
      </c>
      <c r="U8" s="5" t="n">
        <f aca="false">Q8+R8+S8+T8</f>
        <v>1140675958.2</v>
      </c>
      <c r="V8" s="17" t="n">
        <v>40628496.8</v>
      </c>
      <c r="W8" s="17" t="n">
        <v>40000000</v>
      </c>
      <c r="X8" s="17" t="n">
        <v>150000000</v>
      </c>
      <c r="Y8" s="5" t="n">
        <f aca="false">V8+W8+X8</f>
        <v>230628496.8</v>
      </c>
      <c r="Z8" s="17" t="n">
        <v>194251787.5</v>
      </c>
      <c r="AA8" s="17" t="n">
        <v>641009961.5</v>
      </c>
      <c r="AB8" s="5" t="n">
        <f aca="false">Z8+AA8</f>
        <v>835261749</v>
      </c>
      <c r="AC8" s="5" t="n">
        <f aca="false">U8-(Y8+AB8)</f>
        <v>74785712.4000001</v>
      </c>
      <c r="AD8" s="17" t="n">
        <v>204011057.1</v>
      </c>
      <c r="AE8" s="17" t="n">
        <v>-12000000</v>
      </c>
      <c r="AF8" s="17" t="n">
        <v>57037500</v>
      </c>
      <c r="AG8" s="5" t="n">
        <f aca="false">AD8+AE8+AF8</f>
        <v>249048557.1</v>
      </c>
      <c r="AH8" s="18"/>
    </row>
    <row r="9" customFormat="false" ht="15" hidden="false" customHeight="false" outlineLevel="0" collapsed="false">
      <c r="A9" s="11" t="n">
        <v>5</v>
      </c>
      <c r="B9" s="11" t="n">
        <v>1</v>
      </c>
      <c r="C9" s="16" t="s">
        <v>96</v>
      </c>
      <c r="D9" s="16" t="s">
        <v>13</v>
      </c>
      <c r="E9" s="17" t="n">
        <v>929169245.7</v>
      </c>
      <c r="F9" s="17" t="n">
        <v>686745684.4</v>
      </c>
      <c r="G9" s="5" t="n">
        <f aca="false">E9-F9</f>
        <v>242423561.3</v>
      </c>
      <c r="H9" s="17" t="n">
        <v>119863608.7</v>
      </c>
      <c r="I9" s="17" t="n">
        <v>51603703.5</v>
      </c>
      <c r="J9" s="5" t="n">
        <f aca="false">G9-H9-I9</f>
        <v>70956249.1000001</v>
      </c>
      <c r="K9" s="17" t="n">
        <v>10436743</v>
      </c>
      <c r="L9" s="5" t="n">
        <f aca="false">J9-K9</f>
        <v>60519506.1000001</v>
      </c>
      <c r="M9" s="17" t="n">
        <v>3647304.8</v>
      </c>
      <c r="N9" s="5" t="n">
        <f aca="false">L9-M9</f>
        <v>56872201.3000001</v>
      </c>
      <c r="O9" s="17" t="n">
        <v>25537484.2</v>
      </c>
      <c r="P9" s="5" t="n">
        <f aca="false">N9-O9</f>
        <v>31334717.1000001</v>
      </c>
      <c r="Q9" s="17" t="n">
        <v>965908769.2</v>
      </c>
      <c r="R9" s="17" t="n">
        <v>112731428.1</v>
      </c>
      <c r="S9" s="17" t="n">
        <v>115095871.4</v>
      </c>
      <c r="T9" s="17" t="n">
        <v>24229405</v>
      </c>
      <c r="U9" s="5" t="n">
        <f aca="false">Q9+R9+S9+T9</f>
        <v>1217965473.7</v>
      </c>
      <c r="V9" s="17" t="n">
        <v>92076697.1</v>
      </c>
      <c r="W9" s="17" t="n">
        <v>40000000</v>
      </c>
      <c r="X9" s="17" t="n">
        <v>150000000</v>
      </c>
      <c r="Y9" s="5" t="n">
        <f aca="false">V9+W9+X9</f>
        <v>282076697.1</v>
      </c>
      <c r="Z9" s="17" t="n">
        <v>202735322.1</v>
      </c>
      <c r="AA9" s="17" t="n">
        <v>672344678.5</v>
      </c>
      <c r="AB9" s="5" t="n">
        <f aca="false">Z9+AA9</f>
        <v>875080000.6</v>
      </c>
      <c r="AC9" s="5" t="n">
        <f aca="false">U9-(Y9+AB9)</f>
        <v>60808776</v>
      </c>
      <c r="AD9" s="17" t="n">
        <v>59071977.6</v>
      </c>
      <c r="AE9" s="17" t="n">
        <v>-10500000</v>
      </c>
      <c r="AF9" s="17" t="n">
        <v>-5493401.9</v>
      </c>
      <c r="AG9" s="5" t="n">
        <f aca="false">AD9+AE9+AF9</f>
        <v>43078575.7</v>
      </c>
      <c r="AH9" s="18"/>
    </row>
    <row r="10" customFormat="false" ht="15" hidden="false" customHeight="false" outlineLevel="0" collapsed="false">
      <c r="A10" s="11" t="n">
        <v>6</v>
      </c>
      <c r="B10" s="11" t="n">
        <v>1</v>
      </c>
      <c r="C10" s="16" t="s">
        <v>96</v>
      </c>
      <c r="D10" s="16" t="s">
        <v>13</v>
      </c>
      <c r="E10" s="17" t="n">
        <v>1011550636.4</v>
      </c>
      <c r="F10" s="17" t="n">
        <v>919495879</v>
      </c>
      <c r="G10" s="5" t="n">
        <f aca="false">E10-F10</f>
        <v>92054757.4</v>
      </c>
      <c r="H10" s="17" t="n">
        <v>114182756</v>
      </c>
      <c r="I10" s="17" t="n">
        <v>37437815.3</v>
      </c>
      <c r="J10" s="5" t="n">
        <f aca="false">G10-H10-I10</f>
        <v>-59565813.9</v>
      </c>
      <c r="K10" s="17" t="n">
        <v>9687534.2</v>
      </c>
      <c r="L10" s="5" t="n">
        <f aca="false">J10-K10</f>
        <v>-69253348.1</v>
      </c>
      <c r="M10" s="17" t="n">
        <v>0</v>
      </c>
      <c r="N10" s="5" t="n">
        <f aca="false">L10-M10</f>
        <v>-69253348.1</v>
      </c>
      <c r="O10" s="17" t="n">
        <v>0</v>
      </c>
      <c r="P10" s="5" t="n">
        <f aca="false">N10-O10</f>
        <v>-69253348.1</v>
      </c>
      <c r="Q10" s="17" t="n">
        <v>903528756.7</v>
      </c>
      <c r="R10" s="17" t="n">
        <v>122364091.5</v>
      </c>
      <c r="S10" s="17" t="n">
        <v>119933348.6</v>
      </c>
      <c r="T10" s="17" t="n">
        <v>1791589.7</v>
      </c>
      <c r="U10" s="5" t="n">
        <f aca="false">Q10+R10+S10+T10</f>
        <v>1147617786.5</v>
      </c>
      <c r="V10" s="17" t="n">
        <v>95946678.8</v>
      </c>
      <c r="W10" s="17" t="n">
        <v>40000000</v>
      </c>
      <c r="X10" s="17" t="n">
        <v>150000000</v>
      </c>
      <c r="Y10" s="5" t="n">
        <f aca="false">V10+W10+X10</f>
        <v>285946678.8</v>
      </c>
      <c r="Z10" s="17" t="n">
        <v>207163780.3</v>
      </c>
      <c r="AA10" s="17" t="n">
        <v>603091330.4</v>
      </c>
      <c r="AB10" s="5" t="n">
        <f aca="false">Z10+AA10</f>
        <v>810255110.7</v>
      </c>
      <c r="AC10" s="5" t="n">
        <f aca="false">U10-(Y10+AB10)</f>
        <v>51415997</v>
      </c>
      <c r="AD10" s="17" t="n">
        <v>-42415691.7</v>
      </c>
      <c r="AE10" s="17" t="n">
        <v>-15000000</v>
      </c>
      <c r="AF10" s="17" t="n">
        <v>-4964320.8</v>
      </c>
      <c r="AG10" s="5" t="n">
        <f aca="false">AD10+AE10+AF10</f>
        <v>-62380012.5</v>
      </c>
      <c r="AH10" s="18"/>
    </row>
    <row r="11" customFormat="false" ht="15" hidden="false" customHeight="false" outlineLevel="0" collapsed="false">
      <c r="A11" s="11" t="n">
        <v>7</v>
      </c>
      <c r="B11" s="11" t="n">
        <v>1</v>
      </c>
      <c r="C11" s="16" t="s">
        <v>96</v>
      </c>
      <c r="D11" s="16" t="s">
        <v>13</v>
      </c>
      <c r="E11" s="17" t="n">
        <v>1258667776</v>
      </c>
      <c r="F11" s="17" t="n">
        <v>1105010955.8</v>
      </c>
      <c r="G11" s="5" t="n">
        <f aca="false">E11-F11</f>
        <v>153656820.2</v>
      </c>
      <c r="H11" s="17" t="n">
        <v>126104373.8</v>
      </c>
      <c r="I11" s="17" t="n">
        <v>12291589.7</v>
      </c>
      <c r="J11" s="5" t="n">
        <f aca="false">G11-H11-I11</f>
        <v>15260856.7000001</v>
      </c>
      <c r="K11" s="17" t="n">
        <v>9077352.5</v>
      </c>
      <c r="L11" s="5" t="n">
        <f aca="false">J11-K11</f>
        <v>6183504.20000005</v>
      </c>
      <c r="M11" s="17" t="n">
        <v>0</v>
      </c>
      <c r="N11" s="5" t="n">
        <f aca="false">L11-M11</f>
        <v>6183504.20000005</v>
      </c>
      <c r="O11" s="17" t="n">
        <v>3774921.8</v>
      </c>
      <c r="P11" s="5" t="n">
        <f aca="false">N11-O11</f>
        <v>2408582.40000005</v>
      </c>
      <c r="Q11" s="17" t="n">
        <v>864073095.1</v>
      </c>
      <c r="R11" s="17" t="n">
        <v>155235040.1</v>
      </c>
      <c r="S11" s="17" t="n">
        <v>151426791</v>
      </c>
      <c r="T11" s="17" t="n">
        <v>0</v>
      </c>
      <c r="U11" s="5" t="n">
        <f aca="false">Q11+R11+S11+T11</f>
        <v>1170734926.2</v>
      </c>
      <c r="V11" s="17" t="n">
        <v>121141432.8</v>
      </c>
      <c r="W11" s="17" t="n">
        <v>40000000</v>
      </c>
      <c r="X11" s="17" t="n">
        <v>150000000</v>
      </c>
      <c r="Y11" s="5" t="n">
        <f aca="false">V11+W11+X11</f>
        <v>311141432.8</v>
      </c>
      <c r="Z11" s="17" t="n">
        <v>209475463.1</v>
      </c>
      <c r="AA11" s="17" t="n">
        <v>605499912.8</v>
      </c>
      <c r="AB11" s="5" t="n">
        <f aca="false">Z11+AA11</f>
        <v>814975375.9</v>
      </c>
      <c r="AC11" s="5" t="n">
        <f aca="false">U11-(Y11+AB11)</f>
        <v>44618117.5</v>
      </c>
      <c r="AD11" s="17" t="n">
        <v>-24469465</v>
      </c>
      <c r="AE11" s="17" t="n">
        <v>-10500000</v>
      </c>
      <c r="AF11" s="17" t="n">
        <v>-4486196.6</v>
      </c>
      <c r="AG11" s="5" t="n">
        <f aca="false">AD11+AE11+AF11</f>
        <v>-39455661.6</v>
      </c>
      <c r="AH11" s="18"/>
    </row>
    <row r="12" customFormat="false" ht="15" hidden="false" customHeight="false" outlineLevel="0" collapsed="false">
      <c r="A12" s="11" t="n">
        <v>8</v>
      </c>
      <c r="B12" s="11" t="n">
        <v>1</v>
      </c>
      <c r="C12" s="16" t="s">
        <v>96</v>
      </c>
      <c r="D12" s="16" t="s">
        <v>13</v>
      </c>
      <c r="E12" s="17" t="n">
        <v>1440547098</v>
      </c>
      <c r="F12" s="17" t="n">
        <v>1698968973.1</v>
      </c>
      <c r="G12" s="5" t="n">
        <f aca="false">E12-F12</f>
        <v>-258421875.1</v>
      </c>
      <c r="H12" s="17" t="n">
        <v>119735000</v>
      </c>
      <c r="I12" s="17" t="n">
        <v>21000000</v>
      </c>
      <c r="J12" s="5" t="n">
        <f aca="false">G12-H12-I12</f>
        <v>-399156875.1</v>
      </c>
      <c r="K12" s="17" t="n">
        <v>10960274.1</v>
      </c>
      <c r="L12" s="5" t="n">
        <f aca="false">J12-K12</f>
        <v>-410117149.2</v>
      </c>
      <c r="M12" s="17" t="n">
        <v>0</v>
      </c>
      <c r="N12" s="5" t="n">
        <f aca="false">L12-M12</f>
        <v>-410117149.2</v>
      </c>
      <c r="O12" s="17" t="n">
        <v>0</v>
      </c>
      <c r="P12" s="5" t="n">
        <f aca="false">N12-O12</f>
        <v>-410117149.2</v>
      </c>
      <c r="Q12" s="17" t="n">
        <v>441933734.1</v>
      </c>
      <c r="R12" s="17" t="n">
        <v>153537632</v>
      </c>
      <c r="S12" s="17" t="n">
        <v>199754282.7</v>
      </c>
      <c r="T12" s="17" t="n">
        <v>0</v>
      </c>
      <c r="U12" s="5" t="n">
        <f aca="false">Q12+R12+S12+T12</f>
        <v>795225648.8</v>
      </c>
      <c r="V12" s="17" t="n">
        <v>159803426.1</v>
      </c>
      <c r="W12" s="17" t="n">
        <v>40000000</v>
      </c>
      <c r="X12" s="17" t="n">
        <v>150000000</v>
      </c>
      <c r="Y12" s="5" t="n">
        <f aca="false">V12+W12+X12</f>
        <v>349803426.1</v>
      </c>
      <c r="Z12" s="17" t="n">
        <v>210176022.1</v>
      </c>
      <c r="AA12" s="17" t="n">
        <v>195382763.6</v>
      </c>
      <c r="AB12" s="5" t="n">
        <f aca="false">Z12+AA12</f>
        <v>405558785.7</v>
      </c>
      <c r="AC12" s="5" t="n">
        <f aca="false">U12-(Y12+AB12)</f>
        <v>39863437</v>
      </c>
      <c r="AD12" s="17" t="n">
        <v>-397085239.5</v>
      </c>
      <c r="AE12" s="17" t="n">
        <v>-21000000</v>
      </c>
      <c r="AF12" s="17" t="n">
        <v>-4054121.5</v>
      </c>
      <c r="AG12" s="5" t="n">
        <f aca="false">AD12+AE12+AF12</f>
        <v>-422139361</v>
      </c>
      <c r="AH12" s="18"/>
    </row>
    <row r="13" customFormat="false" ht="15" hidden="false" customHeight="false" outlineLevel="0" collapsed="false">
      <c r="A13" s="11" t="n">
        <v>9</v>
      </c>
      <c r="B13" s="11" t="n">
        <v>1</v>
      </c>
      <c r="C13" s="16" t="s">
        <v>96</v>
      </c>
      <c r="D13" s="16" t="s">
        <v>13</v>
      </c>
      <c r="E13" s="17" t="n">
        <v>1307730065.2</v>
      </c>
      <c r="F13" s="17" t="n">
        <v>1513535345.1</v>
      </c>
      <c r="G13" s="5" t="n">
        <f aca="false">E13-F13</f>
        <v>-205805279.9</v>
      </c>
      <c r="H13" s="17" t="n">
        <v>107840000</v>
      </c>
      <c r="I13" s="17" t="n">
        <v>28000000</v>
      </c>
      <c r="J13" s="5" t="n">
        <f aca="false">G13-H13-I13</f>
        <v>-341645279.9</v>
      </c>
      <c r="K13" s="17" t="n">
        <v>11977812</v>
      </c>
      <c r="L13" s="5" t="n">
        <f aca="false">J13-K13</f>
        <v>-353623091.9</v>
      </c>
      <c r="M13" s="17" t="n">
        <v>0</v>
      </c>
      <c r="N13" s="5" t="n">
        <f aca="false">L13-M13</f>
        <v>-353623091.9</v>
      </c>
      <c r="O13" s="17" t="n">
        <v>0</v>
      </c>
      <c r="P13" s="5" t="n">
        <f aca="false">N13-O13</f>
        <v>-353623091.9</v>
      </c>
      <c r="Q13" s="17" t="n">
        <v>81957225.5</v>
      </c>
      <c r="R13" s="17" t="n">
        <v>156266771.1</v>
      </c>
      <c r="S13" s="17" t="n">
        <v>199557368.7</v>
      </c>
      <c r="T13" s="17" t="n">
        <v>0</v>
      </c>
      <c r="U13" s="5" t="n">
        <f aca="false">Q13+R13+S13+T13</f>
        <v>437781365.3</v>
      </c>
      <c r="V13" s="17" t="n">
        <v>159645895</v>
      </c>
      <c r="W13" s="17" t="n">
        <v>40000000</v>
      </c>
      <c r="X13" s="17" t="n">
        <v>150000000</v>
      </c>
      <c r="Y13" s="5" t="n">
        <f aca="false">V13+W13+X13</f>
        <v>349645895</v>
      </c>
      <c r="Z13" s="17" t="n">
        <v>210176022.1</v>
      </c>
      <c r="AA13" s="17" t="n">
        <v>-158240328.3</v>
      </c>
      <c r="AB13" s="5" t="n">
        <f aca="false">Z13+AA13</f>
        <v>51935693.8</v>
      </c>
      <c r="AC13" s="5" t="n">
        <f aca="false">U13-(Y13+AB13)</f>
        <v>36199776.5</v>
      </c>
      <c r="AD13" s="17" t="n">
        <v>-328312848.1</v>
      </c>
      <c r="AE13" s="17" t="n">
        <v>-28000000</v>
      </c>
      <c r="AF13" s="17" t="n">
        <v>-3663660.5</v>
      </c>
      <c r="AG13" s="5" t="n">
        <f aca="false">AD13+AE13+AF13</f>
        <v>-359976508.6</v>
      </c>
      <c r="AH13" s="19" t="s">
        <v>97</v>
      </c>
    </row>
    <row r="14" customFormat="false" ht="15" hidden="false" customHeight="false" outlineLevel="0" collapsed="false">
      <c r="A14" s="11" t="n">
        <v>10</v>
      </c>
      <c r="B14" s="11" t="n">
        <v>1</v>
      </c>
      <c r="C14" s="16" t="s">
        <v>96</v>
      </c>
      <c r="D14" s="16" t="s">
        <v>13</v>
      </c>
      <c r="E14" s="17" t="n">
        <v>762105966.5</v>
      </c>
      <c r="F14" s="17" t="n">
        <v>869809775.7</v>
      </c>
      <c r="G14" s="5" t="n">
        <f aca="false">E14-F14</f>
        <v>-107703809.2</v>
      </c>
      <c r="H14" s="17" t="n">
        <v>53920000</v>
      </c>
      <c r="I14" s="17" t="n">
        <v>14000000</v>
      </c>
      <c r="J14" s="5" t="n">
        <f aca="false">G14-H14-I14</f>
        <v>-175623809.2</v>
      </c>
      <c r="K14" s="17" t="n">
        <v>6530143.7</v>
      </c>
      <c r="L14" s="5" t="n">
        <f aca="false">J14-K14</f>
        <v>-182153952.9</v>
      </c>
      <c r="M14" s="17" t="n">
        <v>0</v>
      </c>
      <c r="N14" s="5" t="n">
        <f aca="false">L14-M14</f>
        <v>-182153952.9</v>
      </c>
      <c r="O14" s="17" t="n">
        <v>0</v>
      </c>
      <c r="P14" s="5" t="n">
        <f aca="false">N14-O14</f>
        <v>-182153952.9</v>
      </c>
      <c r="Q14" s="17" t="n">
        <v>-107839987.1</v>
      </c>
      <c r="R14" s="17" t="n">
        <v>179286832.3</v>
      </c>
      <c r="S14" s="17" t="n">
        <v>226863769.3</v>
      </c>
      <c r="T14" s="17" t="n">
        <v>0</v>
      </c>
      <c r="U14" s="5" t="n">
        <f aca="false">Q14+R14+S14+T14</f>
        <v>298310614.5</v>
      </c>
      <c r="V14" s="17" t="n">
        <v>181491015.4</v>
      </c>
      <c r="W14" s="17" t="n">
        <v>40000000</v>
      </c>
      <c r="X14" s="17" t="n">
        <v>150000000</v>
      </c>
      <c r="Y14" s="5" t="n">
        <f aca="false">V14+W14+X14</f>
        <v>371491015.4</v>
      </c>
      <c r="Z14" s="17" t="n">
        <v>232711408.7</v>
      </c>
      <c r="AA14" s="17" t="n">
        <v>-340394281.2</v>
      </c>
      <c r="AB14" s="5" t="n">
        <f aca="false">Z14+AA14</f>
        <v>-107682872.5</v>
      </c>
      <c r="AC14" s="5" t="n">
        <f aca="false">U14-(Y14+AB14)</f>
        <v>34502471.6</v>
      </c>
      <c r="AD14" s="17" t="n">
        <v>-196635294.2</v>
      </c>
      <c r="AE14" s="17" t="n">
        <v>-14000000</v>
      </c>
      <c r="AF14" s="17" t="n">
        <v>20838081.6</v>
      </c>
      <c r="AG14" s="5" t="n">
        <f aca="false">AD14+AE14+AF14</f>
        <v>-189797212.6</v>
      </c>
      <c r="AH14" s="1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2026-06-17T16:10:42Z</dcterms:created>
  <dc:creator>openpyxl</dc:creator>
  <dc:description/>
  <dc:language>en-US</dc:language>
  <cp:lastModifiedBy/>
  <dcterms:modified xsi:type="dcterms:W3CDTF">2026-06-17T16:10:42Z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